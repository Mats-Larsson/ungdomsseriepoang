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LA67\source\repos\Mats-Larsson\ungdomsseriepoang\"/>
    </mc:Choice>
  </mc:AlternateContent>
  <xr:revisionPtr revIDLastSave="0" documentId="13_ncr:1_{7C787558-FBEB-470A-9C8B-25ACF1A7A2AF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Resultat" sheetId="1" r:id="rId1"/>
    <sheet name="Totalt" sheetId="3" r:id="rId2"/>
    <sheet name="Per klubb och klass" sheetId="4" r:id="rId3"/>
    <sheet name="Final 2022" sheetId="5" r:id="rId4"/>
  </sheets>
  <functionGroups builtInGroupCount="19"/>
  <definedNames>
    <definedName name="ungdomsserien2013_accounts" localSheetId="0" hidden="1">Resultat!$A$1:$E$151</definedName>
  </definedNames>
  <calcPr calcId="191029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" i="5" l="1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4" i="5"/>
  <c r="J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F2" i="1"/>
  <c r="F3" i="1" s="1"/>
  <c r="F5" i="1"/>
  <c r="F14" i="1"/>
  <c r="F15" i="1" s="1"/>
  <c r="F16" i="1" s="1"/>
  <c r="F18" i="1"/>
  <c r="F19" i="1" s="1"/>
  <c r="F20" i="1" s="1"/>
  <c r="F21" i="1"/>
  <c r="F33" i="1"/>
  <c r="F37" i="1"/>
  <c r="F45" i="1"/>
  <c r="F49" i="1"/>
  <c r="F65" i="1"/>
  <c r="F68" i="1"/>
  <c r="G68" i="1" s="1"/>
  <c r="F72" i="1"/>
  <c r="G72" i="1" s="1"/>
  <c r="F79" i="1"/>
  <c r="F80" i="1" s="1"/>
  <c r="G80" i="1" s="1"/>
  <c r="F86" i="1"/>
  <c r="F87" i="1" s="1"/>
  <c r="F88" i="1" s="1"/>
  <c r="F95" i="1"/>
  <c r="G95" i="1" s="1"/>
  <c r="F129" i="1"/>
  <c r="F149" i="1"/>
  <c r="G4" i="1"/>
  <c r="G10" i="1"/>
  <c r="G11" i="1"/>
  <c r="G12" i="1"/>
  <c r="G13" i="1"/>
  <c r="G20" i="1"/>
  <c r="G29" i="1"/>
  <c r="G30" i="1"/>
  <c r="G31" i="1"/>
  <c r="G32" i="1"/>
  <c r="G34" i="1"/>
  <c r="G35" i="1"/>
  <c r="G36" i="1"/>
  <c r="G44" i="1"/>
  <c r="G48" i="1"/>
  <c r="G63" i="1"/>
  <c r="G64" i="1"/>
  <c r="G67" i="1"/>
  <c r="G71" i="1"/>
  <c r="G79" i="1"/>
  <c r="G125" i="1"/>
  <c r="G126" i="1"/>
  <c r="G127" i="1"/>
  <c r="G128" i="1"/>
  <c r="G146" i="1"/>
  <c r="G147" i="1"/>
  <c r="G148" i="1"/>
  <c r="C2" i="3"/>
  <c r="I8" i="1" a="1"/>
  <c r="I20" i="1" a="1"/>
  <c r="I32" i="1" a="1"/>
  <c r="I44" i="1" a="1"/>
  <c r="I56" i="1" a="1"/>
  <c r="I68" i="1" a="1"/>
  <c r="I86" i="1" a="1"/>
  <c r="I98" i="1" a="1"/>
  <c r="I110" i="1" a="1"/>
  <c r="I122" i="1" a="1"/>
  <c r="I140" i="1" a="1"/>
  <c r="I9" i="1" a="1"/>
  <c r="I21" i="1" a="1"/>
  <c r="I33" i="1" a="1"/>
  <c r="I45" i="1" a="1"/>
  <c r="I57" i="1" a="1"/>
  <c r="I69" i="1" a="1"/>
  <c r="I81" i="1" a="1"/>
  <c r="I93" i="1" a="1"/>
  <c r="I105" i="1" a="1"/>
  <c r="I117" i="1" a="1"/>
  <c r="I129" i="1" a="1"/>
  <c r="I141" i="1" a="1"/>
  <c r="I3" i="1" a="1"/>
  <c r="I15" i="1" a="1"/>
  <c r="I27" i="1" a="1"/>
  <c r="I39" i="1" a="1"/>
  <c r="I51" i="1" a="1"/>
  <c r="I63" i="1" a="1"/>
  <c r="I75" i="1" a="1"/>
  <c r="I87" i="1" a="1"/>
  <c r="I99" i="1" a="1"/>
  <c r="I111" i="1" a="1"/>
  <c r="I123" i="1" a="1"/>
  <c r="I135" i="1" a="1"/>
  <c r="I147" i="1" a="1"/>
  <c r="I10" i="1" a="1"/>
  <c r="I16" i="1" a="1"/>
  <c r="I28" i="1" a="1"/>
  <c r="I40" i="1" a="1"/>
  <c r="I52" i="1" a="1"/>
  <c r="I64" i="1" a="1"/>
  <c r="I76" i="1" a="1"/>
  <c r="I88" i="1" a="1"/>
  <c r="I100" i="1" a="1"/>
  <c r="I112" i="1" a="1"/>
  <c r="I124" i="1" a="1"/>
  <c r="I136" i="1" a="1"/>
  <c r="I148" i="1" a="1"/>
  <c r="I4" i="1" a="1"/>
  <c r="I22" i="1" a="1"/>
  <c r="I34" i="1" a="1"/>
  <c r="I46" i="1" a="1"/>
  <c r="I58" i="1" a="1"/>
  <c r="I70" i="1" a="1"/>
  <c r="I82" i="1" a="1"/>
  <c r="I94" i="1" a="1"/>
  <c r="I106" i="1" a="1"/>
  <c r="I118" i="1" a="1"/>
  <c r="I130" i="1" a="1"/>
  <c r="I142" i="1" a="1"/>
  <c r="I11" i="1" a="1"/>
  <c r="I17" i="1" a="1"/>
  <c r="I35" i="1" a="1"/>
  <c r="I41" i="1" a="1"/>
  <c r="I53" i="1" a="1"/>
  <c r="I65" i="1" a="1"/>
  <c r="I77" i="1" a="1"/>
  <c r="I89" i="1" a="1"/>
  <c r="I101" i="1" a="1"/>
  <c r="I113" i="1" a="1"/>
  <c r="I125" i="1" a="1"/>
  <c r="I137" i="1" a="1"/>
  <c r="I149" i="1" a="1"/>
  <c r="I146" i="1" a="1"/>
  <c r="I5" i="1" a="1"/>
  <c r="I23" i="1" a="1"/>
  <c r="I29" i="1" a="1"/>
  <c r="I47" i="1" a="1"/>
  <c r="I59" i="1" a="1"/>
  <c r="I71" i="1" a="1"/>
  <c r="I83" i="1" a="1"/>
  <c r="I95" i="1" a="1"/>
  <c r="I107" i="1" a="1"/>
  <c r="I119" i="1" a="1"/>
  <c r="I131" i="1" a="1"/>
  <c r="I143" i="1" a="1"/>
  <c r="I145" i="1" a="1"/>
  <c r="I12" i="1" a="1"/>
  <c r="I30" i="1" a="1"/>
  <c r="I42" i="1" a="1"/>
  <c r="I54" i="1" a="1"/>
  <c r="I66" i="1" a="1"/>
  <c r="I78" i="1" a="1"/>
  <c r="I90" i="1" a="1"/>
  <c r="I102" i="1" a="1"/>
  <c r="I114" i="1" a="1"/>
  <c r="I126" i="1" a="1"/>
  <c r="I138" i="1" a="1"/>
  <c r="I150" i="1" a="1"/>
  <c r="I6" i="1" a="1"/>
  <c r="I18" i="1" a="1"/>
  <c r="I24" i="1" a="1"/>
  <c r="I36" i="1" a="1"/>
  <c r="I48" i="1" a="1"/>
  <c r="I60" i="1" a="1"/>
  <c r="I72" i="1" a="1"/>
  <c r="I84" i="1" a="1"/>
  <c r="I96" i="1" a="1"/>
  <c r="I108" i="1" a="1"/>
  <c r="I120" i="1" a="1"/>
  <c r="I132" i="1" a="1"/>
  <c r="I144" i="1" a="1"/>
  <c r="I7" i="1" a="1"/>
  <c r="I19" i="1" a="1"/>
  <c r="I31" i="1" a="1"/>
  <c r="I43" i="1" a="1"/>
  <c r="I55" i="1" a="1"/>
  <c r="I73" i="1" a="1"/>
  <c r="I85" i="1" a="1"/>
  <c r="I97" i="1" a="1"/>
  <c r="I109" i="1" a="1"/>
  <c r="I127" i="1" a="1"/>
  <c r="I139" i="1" a="1"/>
  <c r="I13" i="1" a="1"/>
  <c r="I25" i="1" a="1"/>
  <c r="I37" i="1" a="1"/>
  <c r="I49" i="1" a="1"/>
  <c r="I61" i="1" a="1"/>
  <c r="I67" i="1" a="1"/>
  <c r="I79" i="1" a="1"/>
  <c r="I91" i="1" a="1"/>
  <c r="I103" i="1" a="1"/>
  <c r="I115" i="1" a="1"/>
  <c r="I121" i="1" a="1"/>
  <c r="I133" i="1" a="1"/>
  <c r="I151" i="1" a="1"/>
  <c r="I2" i="1" a="1"/>
  <c r="I14" i="1" a="1"/>
  <c r="I26" i="1" a="1"/>
  <c r="I38" i="1" a="1"/>
  <c r="I50" i="1" a="1"/>
  <c r="I62" i="1" a="1"/>
  <c r="I74" i="1" a="1"/>
  <c r="I80" i="1" a="1"/>
  <c r="I92" i="1" a="1"/>
  <c r="I104" i="1" a="1"/>
  <c r="I116" i="1" a="1"/>
  <c r="I128" i="1" a="1"/>
  <c r="I134" i="1" a="1"/>
  <c r="H5" i="1"/>
  <c r="H65" i="1"/>
  <c r="H86" i="1"/>
  <c r="H72" i="1"/>
  <c r="H14" i="1"/>
  <c r="H19" i="1"/>
  <c r="H95" i="1"/>
  <c r="H68" i="1"/>
  <c r="H33" i="1"/>
  <c r="H129" i="1"/>
  <c r="H21" i="1"/>
  <c r="H37" i="1"/>
  <c r="H49" i="1"/>
  <c r="H18" i="1"/>
  <c r="H79" i="1"/>
  <c r="H16" i="1"/>
  <c r="H45" i="1"/>
  <c r="H2" i="1"/>
  <c r="H3" i="1"/>
  <c r="H15" i="1"/>
  <c r="H87" i="1"/>
  <c r="H80" i="1"/>
  <c r="H88" i="1"/>
  <c r="H149" i="1"/>
  <c r="H20" i="1"/>
  <c r="I134" i="1" l="1"/>
  <c r="I128" i="1"/>
  <c r="I116" i="1"/>
  <c r="I104" i="1"/>
  <c r="I92" i="1"/>
  <c r="I80" i="1"/>
  <c r="I74" i="1"/>
  <c r="I62" i="1"/>
  <c r="I50" i="1"/>
  <c r="I38" i="1"/>
  <c r="I26" i="1"/>
  <c r="I14" i="1"/>
  <c r="I2" i="1"/>
  <c r="I151" i="1"/>
  <c r="I133" i="1"/>
  <c r="I121" i="1"/>
  <c r="I115" i="1"/>
  <c r="I103" i="1"/>
  <c r="I91" i="1"/>
  <c r="I79" i="1"/>
  <c r="I67" i="1"/>
  <c r="I61" i="1"/>
  <c r="I49" i="1"/>
  <c r="I37" i="1"/>
  <c r="I25" i="1"/>
  <c r="I13" i="1"/>
  <c r="I139" i="1"/>
  <c r="I127" i="1"/>
  <c r="I109" i="1"/>
  <c r="I97" i="1"/>
  <c r="I85" i="1"/>
  <c r="I73" i="1"/>
  <c r="I55" i="1"/>
  <c r="I43" i="1"/>
  <c r="I31" i="1"/>
  <c r="I19" i="1"/>
  <c r="I7" i="1"/>
  <c r="I144" i="1"/>
  <c r="I132" i="1"/>
  <c r="I120" i="1"/>
  <c r="I108" i="1"/>
  <c r="I96" i="1"/>
  <c r="I84" i="1"/>
  <c r="I72" i="1"/>
  <c r="I60" i="1"/>
  <c r="I48" i="1"/>
  <c r="I36" i="1"/>
  <c r="I24" i="1"/>
  <c r="I18" i="1"/>
  <c r="I6" i="1"/>
  <c r="I150" i="1"/>
  <c r="I138" i="1"/>
  <c r="I126" i="1"/>
  <c r="I114" i="1"/>
  <c r="I102" i="1"/>
  <c r="I90" i="1"/>
  <c r="I78" i="1"/>
  <c r="I66" i="1"/>
  <c r="I54" i="1"/>
  <c r="I42" i="1"/>
  <c r="I30" i="1"/>
  <c r="I12" i="1"/>
  <c r="I145" i="1"/>
  <c r="I143" i="1"/>
  <c r="I131" i="1"/>
  <c r="I119" i="1"/>
  <c r="I107" i="1"/>
  <c r="I95" i="1"/>
  <c r="I83" i="1"/>
  <c r="I71" i="1"/>
  <c r="I59" i="1"/>
  <c r="I47" i="1"/>
  <c r="I29" i="1"/>
  <c r="I23" i="1"/>
  <c r="I5" i="1"/>
  <c r="I146" i="1"/>
  <c r="I149" i="1"/>
  <c r="I137" i="1"/>
  <c r="I125" i="1"/>
  <c r="I113" i="1"/>
  <c r="I101" i="1"/>
  <c r="I89" i="1"/>
  <c r="I77" i="1"/>
  <c r="I65" i="1"/>
  <c r="I53" i="1"/>
  <c r="I41" i="1"/>
  <c r="I35" i="1"/>
  <c r="I17" i="1"/>
  <c r="I11" i="1"/>
  <c r="I142" i="1"/>
  <c r="I130" i="1"/>
  <c r="I118" i="1"/>
  <c r="I106" i="1"/>
  <c r="I94" i="1"/>
  <c r="I82" i="1"/>
  <c r="I70" i="1"/>
  <c r="I58" i="1"/>
  <c r="I46" i="1"/>
  <c r="I34" i="1"/>
  <c r="I22" i="1"/>
  <c r="I4" i="1"/>
  <c r="I148" i="1"/>
  <c r="I136" i="1"/>
  <c r="I124" i="1"/>
  <c r="I112" i="1"/>
  <c r="I100" i="1"/>
  <c r="I88" i="1"/>
  <c r="I76" i="1"/>
  <c r="I64" i="1"/>
  <c r="I52" i="1"/>
  <c r="I40" i="1"/>
  <c r="I28" i="1"/>
  <c r="I16" i="1"/>
  <c r="I10" i="1"/>
  <c r="I147" i="1"/>
  <c r="I135" i="1"/>
  <c r="I123" i="1"/>
  <c r="I111" i="1"/>
  <c r="I99" i="1"/>
  <c r="I87" i="1"/>
  <c r="I75" i="1"/>
  <c r="I63" i="1"/>
  <c r="I51" i="1"/>
  <c r="I39" i="1"/>
  <c r="I27" i="1"/>
  <c r="I15" i="1"/>
  <c r="I3" i="1"/>
  <c r="I141" i="1"/>
  <c r="I129" i="1"/>
  <c r="I117" i="1"/>
  <c r="I105" i="1"/>
  <c r="I93" i="1"/>
  <c r="I81" i="1"/>
  <c r="I69" i="1"/>
  <c r="I57" i="1"/>
  <c r="I45" i="1"/>
  <c r="I33" i="1"/>
  <c r="I21" i="1"/>
  <c r="I9" i="1"/>
  <c r="I140" i="1"/>
  <c r="I122" i="1"/>
  <c r="I110" i="1"/>
  <c r="I98" i="1"/>
  <c r="I86" i="1"/>
  <c r="I68" i="1"/>
  <c r="I56" i="1"/>
  <c r="I44" i="1"/>
  <c r="I32" i="1"/>
  <c r="I20" i="1"/>
  <c r="I8" i="1"/>
  <c r="G14" i="1"/>
  <c r="G18" i="1"/>
  <c r="F96" i="1"/>
  <c r="F97" i="1" s="1"/>
  <c r="F98" i="1" s="1"/>
  <c r="G15" i="1"/>
  <c r="G86" i="1"/>
  <c r="G2" i="1"/>
  <c r="G3" i="1"/>
  <c r="F4" i="1"/>
  <c r="F73" i="1"/>
  <c r="F74" i="1" s="1"/>
  <c r="F69" i="1"/>
  <c r="G69" i="1" s="1"/>
  <c r="G88" i="1"/>
  <c r="F89" i="1"/>
  <c r="G16" i="1"/>
  <c r="F17" i="1"/>
  <c r="F66" i="1"/>
  <c r="G65" i="1"/>
  <c r="F50" i="1"/>
  <c r="G49" i="1"/>
  <c r="G87" i="1"/>
  <c r="F130" i="1"/>
  <c r="G129" i="1"/>
  <c r="G19" i="1"/>
  <c r="F46" i="1"/>
  <c r="G45" i="1"/>
  <c r="F38" i="1"/>
  <c r="G37" i="1"/>
  <c r="F22" i="1"/>
  <c r="G21" i="1"/>
  <c r="F34" i="1"/>
  <c r="G33" i="1"/>
  <c r="F6" i="1"/>
  <c r="G5" i="1"/>
  <c r="F150" i="1"/>
  <c r="G149" i="1"/>
  <c r="F81" i="1"/>
  <c r="H96" i="1"/>
  <c r="H69" i="1"/>
  <c r="H66" i="1"/>
  <c r="H74" i="1"/>
  <c r="H89" i="1"/>
  <c r="H38" i="1"/>
  <c r="H4" i="1"/>
  <c r="H81" i="1"/>
  <c r="H46" i="1"/>
  <c r="H98" i="1"/>
  <c r="H150" i="1"/>
  <c r="H130" i="1"/>
  <c r="H6" i="1"/>
  <c r="H73" i="1"/>
  <c r="H97" i="1"/>
  <c r="H17" i="1"/>
  <c r="H50" i="1"/>
  <c r="H34" i="1"/>
  <c r="H22" i="1"/>
  <c r="F70" i="1" l="1"/>
  <c r="G73" i="1"/>
  <c r="G96" i="1"/>
  <c r="G97" i="1"/>
  <c r="G17" i="1"/>
  <c r="F82" i="1"/>
  <c r="G81" i="1"/>
  <c r="F7" i="1"/>
  <c r="G6" i="1"/>
  <c r="F23" i="1"/>
  <c r="G22" i="1"/>
  <c r="F47" i="1"/>
  <c r="G46" i="1"/>
  <c r="F51" i="1"/>
  <c r="G50" i="1"/>
  <c r="F75" i="1"/>
  <c r="G74" i="1"/>
  <c r="F131" i="1"/>
  <c r="G130" i="1"/>
  <c r="F90" i="1"/>
  <c r="G89" i="1"/>
  <c r="F99" i="1"/>
  <c r="G98" i="1"/>
  <c r="F151" i="1"/>
  <c r="G150" i="1"/>
  <c r="F35" i="1"/>
  <c r="F39" i="1"/>
  <c r="G38" i="1"/>
  <c r="F67" i="1"/>
  <c r="G66" i="1"/>
  <c r="H70" i="1"/>
  <c r="H39" i="1"/>
  <c r="H75" i="1"/>
  <c r="H23" i="1"/>
  <c r="H67" i="1"/>
  <c r="H35" i="1"/>
  <c r="H47" i="1"/>
  <c r="H99" i="1"/>
  <c r="H151" i="1"/>
  <c r="H7" i="1"/>
  <c r="H51" i="1"/>
  <c r="H90" i="1"/>
  <c r="H131" i="1"/>
  <c r="H82" i="1"/>
  <c r="G70" i="1" l="1"/>
  <c r="F71" i="1"/>
  <c r="G151" i="1"/>
  <c r="F76" i="1"/>
  <c r="G75" i="1"/>
  <c r="F8" i="1"/>
  <c r="G7" i="1"/>
  <c r="G39" i="1"/>
  <c r="F40" i="1"/>
  <c r="F36" i="1"/>
  <c r="G99" i="1"/>
  <c r="F100" i="1"/>
  <c r="F132" i="1"/>
  <c r="G131" i="1"/>
  <c r="F52" i="1"/>
  <c r="G51" i="1"/>
  <c r="G23" i="1"/>
  <c r="F24" i="1"/>
  <c r="F83" i="1"/>
  <c r="G82" i="1"/>
  <c r="F91" i="1"/>
  <c r="G90" i="1"/>
  <c r="G47" i="1"/>
  <c r="F48" i="1"/>
  <c r="H71" i="1"/>
  <c r="H48" i="1"/>
  <c r="H36" i="1"/>
  <c r="H91" i="1"/>
  <c r="H8" i="1"/>
  <c r="H52" i="1"/>
  <c r="H132" i="1"/>
  <c r="H76" i="1"/>
  <c r="H83" i="1"/>
  <c r="H100" i="1"/>
  <c r="H40" i="1"/>
  <c r="H24" i="1"/>
  <c r="G24" i="1" l="1"/>
  <c r="F25" i="1"/>
  <c r="G91" i="1"/>
  <c r="F92" i="1"/>
  <c r="G132" i="1"/>
  <c r="F133" i="1"/>
  <c r="G100" i="1"/>
  <c r="F101" i="1"/>
  <c r="G76" i="1"/>
  <c r="F77" i="1"/>
  <c r="G8" i="1"/>
  <c r="F9" i="1"/>
  <c r="G40" i="1"/>
  <c r="F41" i="1"/>
  <c r="G83" i="1"/>
  <c r="F84" i="1"/>
  <c r="G52" i="1"/>
  <c r="F53" i="1"/>
  <c r="H101" i="1"/>
  <c r="H84" i="1"/>
  <c r="H92" i="1"/>
  <c r="H25" i="1"/>
  <c r="H133" i="1"/>
  <c r="H77" i="1"/>
  <c r="H53" i="1"/>
  <c r="H9" i="1"/>
  <c r="H41" i="1"/>
  <c r="F10" i="1" l="1"/>
  <c r="G9" i="1"/>
  <c r="G92" i="1"/>
  <c r="F93" i="1"/>
  <c r="G84" i="1"/>
  <c r="F85" i="1"/>
  <c r="F102" i="1"/>
  <c r="G101" i="1"/>
  <c r="F54" i="1"/>
  <c r="G53" i="1"/>
  <c r="F42" i="1"/>
  <c r="G41" i="1"/>
  <c r="F78" i="1"/>
  <c r="G77" i="1"/>
  <c r="F134" i="1"/>
  <c r="G133" i="1"/>
  <c r="F26" i="1"/>
  <c r="G25" i="1"/>
  <c r="H85" i="1"/>
  <c r="H78" i="1"/>
  <c r="H42" i="1"/>
  <c r="H54" i="1"/>
  <c r="H26" i="1"/>
  <c r="H93" i="1"/>
  <c r="H10" i="1"/>
  <c r="H102" i="1"/>
  <c r="H134" i="1"/>
  <c r="F135" i="1" l="1"/>
  <c r="G134" i="1"/>
  <c r="F43" i="1"/>
  <c r="G42" i="1"/>
  <c r="F103" i="1"/>
  <c r="G102" i="1"/>
  <c r="G85" i="1"/>
  <c r="F94" i="1"/>
  <c r="G93" i="1"/>
  <c r="F27" i="1"/>
  <c r="G26" i="1"/>
  <c r="G78" i="1"/>
  <c r="F55" i="1"/>
  <c r="G54" i="1"/>
  <c r="F11" i="1"/>
  <c r="H103" i="1"/>
  <c r="H27" i="1"/>
  <c r="H55" i="1"/>
  <c r="H135" i="1"/>
  <c r="H94" i="1"/>
  <c r="H43" i="1"/>
  <c r="H11" i="1"/>
  <c r="F12" i="1" l="1"/>
  <c r="F44" i="1"/>
  <c r="G43" i="1"/>
  <c r="G94" i="1"/>
  <c r="F28" i="1"/>
  <c r="G27" i="1"/>
  <c r="G55" i="1"/>
  <c r="F56" i="1"/>
  <c r="F104" i="1"/>
  <c r="G103" i="1"/>
  <c r="G135" i="1"/>
  <c r="F136" i="1"/>
  <c r="H56" i="1"/>
  <c r="H104" i="1"/>
  <c r="H28" i="1"/>
  <c r="H44" i="1"/>
  <c r="H136" i="1"/>
  <c r="H12" i="1"/>
  <c r="G136" i="1" l="1"/>
  <c r="F137" i="1"/>
  <c r="G56" i="1"/>
  <c r="F57" i="1"/>
  <c r="G104" i="1"/>
  <c r="F105" i="1"/>
  <c r="G28" i="1"/>
  <c r="F29" i="1"/>
  <c r="F13" i="1"/>
  <c r="H57" i="1"/>
  <c r="H13" i="1"/>
  <c r="H105" i="1"/>
  <c r="H29" i="1"/>
  <c r="H137" i="1"/>
  <c r="F58" i="1" l="1"/>
  <c r="G57" i="1"/>
  <c r="F30" i="1"/>
  <c r="F106" i="1"/>
  <c r="G105" i="1"/>
  <c r="F138" i="1"/>
  <c r="G137" i="1"/>
  <c r="H106" i="1"/>
  <c r="H30" i="1"/>
  <c r="H138" i="1"/>
  <c r="H58" i="1"/>
  <c r="F107" i="1" l="1"/>
  <c r="G106" i="1"/>
  <c r="F31" i="1"/>
  <c r="F139" i="1"/>
  <c r="G138" i="1"/>
  <c r="F59" i="1"/>
  <c r="G58" i="1"/>
  <c r="H31" i="1"/>
  <c r="H59" i="1"/>
  <c r="H139" i="1"/>
  <c r="H107" i="1"/>
  <c r="G139" i="1" l="1"/>
  <c r="F140" i="1"/>
  <c r="F32" i="1"/>
  <c r="F60" i="1"/>
  <c r="G59" i="1"/>
  <c r="G107" i="1"/>
  <c r="F108" i="1"/>
  <c r="H60" i="1"/>
  <c r="H32" i="1"/>
  <c r="H108" i="1"/>
  <c r="H140" i="1"/>
  <c r="G108" i="1" l="1"/>
  <c r="F109" i="1"/>
  <c r="G60" i="1"/>
  <c r="F61" i="1"/>
  <c r="G140" i="1"/>
  <c r="F141" i="1"/>
  <c r="H109" i="1"/>
  <c r="H61" i="1"/>
  <c r="H141" i="1"/>
  <c r="F62" i="1" l="1"/>
  <c r="G61" i="1"/>
  <c r="F110" i="1"/>
  <c r="G109" i="1"/>
  <c r="F142" i="1"/>
  <c r="G141" i="1"/>
  <c r="H110" i="1"/>
  <c r="H142" i="1"/>
  <c r="H62" i="1"/>
  <c r="F111" i="1" l="1"/>
  <c r="G110" i="1"/>
  <c r="F143" i="1"/>
  <c r="G142" i="1"/>
  <c r="F63" i="1"/>
  <c r="G62" i="1"/>
  <c r="H143" i="1"/>
  <c r="H111" i="1"/>
  <c r="H63" i="1"/>
  <c r="G143" i="1" l="1"/>
  <c r="F144" i="1"/>
  <c r="F64" i="1"/>
  <c r="F112" i="1"/>
  <c r="G111" i="1"/>
  <c r="H144" i="1"/>
  <c r="H64" i="1"/>
  <c r="H112" i="1"/>
  <c r="G112" i="1" l="1"/>
  <c r="F113" i="1"/>
  <c r="G144" i="1"/>
  <c r="F145" i="1"/>
  <c r="H145" i="1"/>
  <c r="H113" i="1"/>
  <c r="F114" i="1" l="1"/>
  <c r="G113" i="1"/>
  <c r="F146" i="1"/>
  <c r="G145" i="1"/>
  <c r="H114" i="1"/>
  <c r="H146" i="1"/>
  <c r="F147" i="1" l="1"/>
  <c r="F115" i="1"/>
  <c r="G114" i="1"/>
  <c r="H115" i="1"/>
  <c r="H147" i="1"/>
  <c r="G115" i="1" l="1"/>
  <c r="F116" i="1"/>
  <c r="F148" i="1"/>
  <c r="H148" i="1"/>
  <c r="H116" i="1"/>
  <c r="G116" i="1" l="1"/>
  <c r="F117" i="1"/>
  <c r="H117" i="1"/>
  <c r="F118" i="1" l="1"/>
  <c r="G117" i="1"/>
  <c r="H118" i="1"/>
  <c r="F119" i="1" l="1"/>
  <c r="G118" i="1"/>
  <c r="H119" i="1"/>
  <c r="F120" i="1" l="1"/>
  <c r="G119" i="1"/>
  <c r="H120" i="1"/>
  <c r="G120" i="1" l="1"/>
  <c r="F121" i="1"/>
  <c r="H121" i="1"/>
  <c r="F122" i="1" l="1"/>
  <c r="G121" i="1"/>
  <c r="H122" i="1"/>
  <c r="F123" i="1" l="1"/>
  <c r="G122" i="1"/>
  <c r="H123" i="1"/>
  <c r="G123" i="1" l="1"/>
  <c r="F124" i="1"/>
  <c r="H124" i="1"/>
  <c r="G124" i="1" l="1"/>
  <c r="F125" i="1"/>
  <c r="H125" i="1"/>
  <c r="F126" i="1" l="1"/>
  <c r="H126" i="1"/>
  <c r="F127" i="1" l="1"/>
  <c r="H127" i="1"/>
  <c r="F128" i="1" l="1"/>
  <c r="H128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ungdomsserien2013 resultat" type="1" refreshedVersion="5" background="1" saveData="1">
    <dbPr connection="DSN=OLA;UID=root;SERVER=localhost;DATABASE=ungdomsserien2015;PORT=3306;" command="select_x0009__x0009_ec.shortName_x0009__x0009__x0009__x0009__x0009__x0009__x0009__x0009_Klass,_x000d__x000a__x0009__x0009__x0009_concat_ws(' ', p.firstName, p.familyName)_x0009_Namn,_x000d__x000a__x0009__x0009__x0009_o.shortName_x0009__x0009__x0009__x0009__x0009__x0009__x0009__x0009__x0009_Klubb,_x000d__x000a__x0009__x0009__x0009_case when r.runnerStatus = 'passed' then sec_to_time(r.totalTime/100) else null end _x000d__x000a__x0009__x0009__x0009__x0009__x0009__x0009__x0009__x0009__x0009__x0009__x0009__x0009__x0009__x0009_Tid,_x000d__x000a__x0009__x0009__x0009_r.runnerStatus_x0009__x0009__x0009__x0009__x0009__x0009__x0009__x0009_&quot;Status&quot;_x000d__x000a_from_x0009__x0009_eventclasses_x0009_ec_x000d__x000a_left join_x0009_entries_x0009__x0009__x0009_e_x0009_on_x0009_ec.eventClassId = e.acceptedEventClassId_x000d__x000a_left join_x0009_results_x0009__x0009__x0009_r_x0009_on_x0009_e.entryId = r.entryId_x000d__x000a_left join_x0009_persons_x0009__x0009__x0009_p_x0009_on_x0009_p.personId = e.competitorId_x000d__x000a_left join_x0009_organisations_x0009_o_x0009_on_x0009_o.organisationId = p.defaultOrganisationId_x000d__x000a_where_x0009__x0009_e.eventId = 1_x000d__x000a_order by_x0009_ec.sequence, _x000d__x000a__x0009__x0009__x0009_case_x0009_when r.runnerStatus = 'passed' _x0009__x0009_then r.totalTime _x000d__x000a__x0009__x0009__x0009__x0009__x0009_when r.runnerStatus = 'notStarted'_x0009_then 10000002_x000d__x000a__x0009__x0009__x0009__x0009__x0009__x0009__x0009__x0009__x0009__x0009__x0009__x0009__x0009__x0009_else 10000001_x000d__x000a__x0009__x0009__x0009_end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<sst xmlns="http://schemas.openxmlformats.org/spreadsheetml/2006/main" count="677" uniqueCount="219">
  <si>
    <t>Klass</t>
  </si>
  <si>
    <t>Namn</t>
  </si>
  <si>
    <t>Tid</t>
  </si>
  <si>
    <t>Status</t>
  </si>
  <si>
    <t>D16</t>
  </si>
  <si>
    <t>H16</t>
  </si>
  <si>
    <t>H16K</t>
  </si>
  <si>
    <t>D14</t>
  </si>
  <si>
    <t>Vilma Karlsson</t>
  </si>
  <si>
    <t>Kristina Tedhamre</t>
  </si>
  <si>
    <t>H14</t>
  </si>
  <si>
    <t>Viking Freij</t>
  </si>
  <si>
    <t>Ivar Lidström Lauri</t>
  </si>
  <si>
    <t>Tobias Karlsson</t>
  </si>
  <si>
    <t>Emil Andersson</t>
  </si>
  <si>
    <t>Felix Persson</t>
  </si>
  <si>
    <t>Gustav Lidmar</t>
  </si>
  <si>
    <t>Martin Skärlén</t>
  </si>
  <si>
    <t>D14K</t>
  </si>
  <si>
    <t>Sofia Fureby</t>
  </si>
  <si>
    <t>H14K</t>
  </si>
  <si>
    <t>D12</t>
  </si>
  <si>
    <t>Nina Persson</t>
  </si>
  <si>
    <t>Vanja Pennebrink</t>
  </si>
  <si>
    <t>H12</t>
  </si>
  <si>
    <t>Johan Calleberg</t>
  </si>
  <si>
    <t>Rasmus Klingberg</t>
  </si>
  <si>
    <t>Albin Hainke</t>
  </si>
  <si>
    <t>Elias Norrman</t>
  </si>
  <si>
    <t>Josef Franzén</t>
  </si>
  <si>
    <t>D12K</t>
  </si>
  <si>
    <t>Ella Karlsson</t>
  </si>
  <si>
    <t>H12K</t>
  </si>
  <si>
    <t>Sebastian Sandblom</t>
  </si>
  <si>
    <t>Andreas Boräng</t>
  </si>
  <si>
    <t>Jacob Wolgast</t>
  </si>
  <si>
    <t>D10</t>
  </si>
  <si>
    <t>Alicia Kallhauge</t>
  </si>
  <si>
    <t>Helena Bern</t>
  </si>
  <si>
    <t>H10</t>
  </si>
  <si>
    <t>Isak Gelius</t>
  </si>
  <si>
    <t>Jakob Tedhamre</t>
  </si>
  <si>
    <t>Filip Storell</t>
  </si>
  <si>
    <t>Oskar Haglund</t>
  </si>
  <si>
    <t>Insk</t>
  </si>
  <si>
    <t>Thea Gelius</t>
  </si>
  <si>
    <t>David Nyberg</t>
  </si>
  <si>
    <t>U1</t>
  </si>
  <si>
    <t>Hannes Lindqvist</t>
  </si>
  <si>
    <t>Elvira Hagström</t>
  </si>
  <si>
    <t>Alva Lidström Lauri</t>
  </si>
  <si>
    <t>Gustav Haglund</t>
  </si>
  <si>
    <t>Emma Hallendal</t>
  </si>
  <si>
    <t>Molly Gelius</t>
  </si>
  <si>
    <t>Moa Klingberg</t>
  </si>
  <si>
    <t>Lovisa Lindqvist</t>
  </si>
  <si>
    <t>Elin Theander</t>
  </si>
  <si>
    <t>Jonathan Trulsrud</t>
  </si>
  <si>
    <t>Hampus Glanshed</t>
  </si>
  <si>
    <t>Moa Glanshed</t>
  </si>
  <si>
    <t>Tage Mührer</t>
  </si>
  <si>
    <t>Gustav Storell</t>
  </si>
  <si>
    <t>David Törnqvist</t>
  </si>
  <si>
    <t>U2</t>
  </si>
  <si>
    <t>Vendela Borg</t>
  </si>
  <si>
    <t>Erik Nederheim</t>
  </si>
  <si>
    <t>Jacob Kennerhed</t>
  </si>
  <si>
    <t>Teodor Norberg</t>
  </si>
  <si>
    <t>Pontus Axell</t>
  </si>
  <si>
    <t>Elias Skott</t>
  </si>
  <si>
    <t>Oskar Ekner</t>
  </si>
  <si>
    <t>Elin Wolgast</t>
  </si>
  <si>
    <t>U3</t>
  </si>
  <si>
    <t>Albin Rydén</t>
  </si>
  <si>
    <t>Tid efter</t>
  </si>
  <si>
    <t>Bästa tid</t>
  </si>
  <si>
    <t>Poäng</t>
  </si>
  <si>
    <t>Klubb</t>
  </si>
  <si>
    <t>Snättringe SK</t>
  </si>
  <si>
    <t>Haninge SOK</t>
  </si>
  <si>
    <t>IFK Enskede</t>
  </si>
  <si>
    <t>Row Labels</t>
  </si>
  <si>
    <t>Grand Total</t>
  </si>
  <si>
    <t>Sum of Poäng</t>
  </si>
  <si>
    <t>Column Labels</t>
  </si>
  <si>
    <t>Totalpoäng</t>
  </si>
  <si>
    <t>Mattias Kallhauge</t>
  </si>
  <si>
    <t>Eskil Brännerud</t>
  </si>
  <si>
    <t>Söders-Tyresö</t>
  </si>
  <si>
    <t>Fredrik Glännefors</t>
  </si>
  <si>
    <t>Gustav Nirvin</t>
  </si>
  <si>
    <t>Kristoffer Rydén</t>
  </si>
  <si>
    <t>Emma Stråhle</t>
  </si>
  <si>
    <t>Erik Norlin</t>
  </si>
  <si>
    <t>Jakob Nau</t>
  </si>
  <si>
    <t>Jesper Lidmar</t>
  </si>
  <si>
    <t>John Wolgast</t>
  </si>
  <si>
    <t>David Bern</t>
  </si>
  <si>
    <t xml:space="preserve">Erik Lidström Lauri </t>
  </si>
  <si>
    <t>Izabella Czechowski</t>
  </si>
  <si>
    <t>Olivia Hultman</t>
  </si>
  <si>
    <t>Nils Rundström</t>
  </si>
  <si>
    <t>Linus Liljeholm</t>
  </si>
  <si>
    <t>Ludde Blom</t>
  </si>
  <si>
    <t>Martina Mäkelä</t>
  </si>
  <si>
    <t>Hedda Röstin</t>
  </si>
  <si>
    <t>Lucas Chavda</t>
  </si>
  <si>
    <t>Ivo Clarhäll</t>
  </si>
  <si>
    <t>Olle Thimberg</t>
  </si>
  <si>
    <t>Carl-Johan Krook</t>
  </si>
  <si>
    <t>Mattias Hedin</t>
  </si>
  <si>
    <t>Johan Fredholm</t>
  </si>
  <si>
    <t>Albert Nord</t>
  </si>
  <si>
    <t>Elis Rundström</t>
  </si>
  <si>
    <t>Antoni Kowalik</t>
  </si>
  <si>
    <t>Harald Barck-Holst</t>
  </si>
  <si>
    <t>Felix Tunell</t>
  </si>
  <si>
    <t>Ellen Sandblom</t>
  </si>
  <si>
    <t>Linn Deboussard</t>
  </si>
  <si>
    <t>Hanna Carlqvist</t>
  </si>
  <si>
    <t>Anton Dyrelius</t>
  </si>
  <si>
    <t>Stanislaw Kowalik</t>
  </si>
  <si>
    <t>Peter Lindvall</t>
  </si>
  <si>
    <t>Hugo Abel</t>
  </si>
  <si>
    <t>Rasmus Fujii</t>
  </si>
  <si>
    <t>Elin Storell</t>
  </si>
  <si>
    <t>Henrik Haglund</t>
  </si>
  <si>
    <t>Folke Barck-Holst</t>
  </si>
  <si>
    <t>Hugo Ziegler</t>
  </si>
  <si>
    <t>Edvin Söderlund</t>
  </si>
  <si>
    <t>Thea Söderlund</t>
  </si>
  <si>
    <t>Wilma Fredholm</t>
  </si>
  <si>
    <t>Isac Wester</t>
  </si>
  <si>
    <t>Lukas Fujii</t>
  </si>
  <si>
    <t>Lina Chavda</t>
  </si>
  <si>
    <t>Hugo Pelander</t>
  </si>
  <si>
    <t>Maja Thimberg</t>
  </si>
  <si>
    <t>Magnus Barck-Holst</t>
  </si>
  <si>
    <t>Hilmar Hedin</t>
  </si>
  <si>
    <t>Cornelia Hagström</t>
  </si>
  <si>
    <t>Anton Hedström</t>
  </si>
  <si>
    <t>Anna Boström</t>
  </si>
  <si>
    <t>Albert Mührer</t>
  </si>
  <si>
    <t>Elin Lindhagen</t>
  </si>
  <si>
    <t>Anna Gredenhag</t>
  </si>
  <si>
    <t>Hanna Lundin</t>
  </si>
  <si>
    <t>Alfred Wahren</t>
  </si>
  <si>
    <t>Emma Källman</t>
  </si>
  <si>
    <t>Ludvig Rosendahl</t>
  </si>
  <si>
    <t>Molly Green</t>
  </si>
  <si>
    <t>Gabriel Carlqvist</t>
  </si>
  <si>
    <t>Elion Reimeringer</t>
  </si>
  <si>
    <t>John Rudung</t>
  </si>
  <si>
    <t>Emil Brinell</t>
  </si>
  <si>
    <t>Emilia Wikstrand</t>
  </si>
  <si>
    <t>Linus Nilevi</t>
  </si>
  <si>
    <t>Morgan Mäkelä</t>
  </si>
  <si>
    <t>Mattias Boräng</t>
  </si>
  <si>
    <t>Joel Ljungberg</t>
  </si>
  <si>
    <t>Ida Pelander</t>
  </si>
  <si>
    <t>Casper Van den Tempel Sölvin</t>
  </si>
  <si>
    <t>Elin Abel</t>
  </si>
  <si>
    <t>Madelene Midelf</t>
  </si>
  <si>
    <t>Ludvig Nord</t>
  </si>
  <si>
    <t>Ville Laurila</t>
  </si>
  <si>
    <t>Felicia Strindér</t>
  </si>
  <si>
    <t>Jonatan Rydén</t>
  </si>
  <si>
    <t>Arvid Löfstedt</t>
  </si>
  <si>
    <t>Rikard Tapia</t>
  </si>
  <si>
    <t>Lucas Deboussard</t>
  </si>
  <si>
    <t>Elmin Hovmöller</t>
  </si>
  <si>
    <t>Nikola Sthyr</t>
  </si>
  <si>
    <t>David Berglund</t>
  </si>
  <si>
    <t>Oscar Fredholm</t>
  </si>
  <si>
    <t>Teodor Källman</t>
  </si>
  <si>
    <t>Saga Svennersjö</t>
  </si>
  <si>
    <t>Filip Flodström</t>
  </si>
  <si>
    <t>Alvin Chavda</t>
  </si>
  <si>
    <t>Lovisa Nederheim</t>
  </si>
  <si>
    <t>Wilhelm Engstrand</t>
  </si>
  <si>
    <t>Samuel Svennersjö</t>
  </si>
  <si>
    <t>Erik Norin</t>
  </si>
  <si>
    <t>Smilla Green</t>
  </si>
  <si>
    <t>Ida Wester</t>
  </si>
  <si>
    <t>passed</t>
  </si>
  <si>
    <t>notValid</t>
  </si>
  <si>
    <t>Preliminära poäng</t>
  </si>
  <si>
    <t>notStarted</t>
  </si>
  <si>
    <t>Column1</t>
  </si>
  <si>
    <t>S2</t>
  </si>
  <si>
    <t>Plats</t>
  </si>
  <si>
    <t>Totalt</t>
  </si>
  <si>
    <t>Efter</t>
  </si>
  <si>
    <t>Diff</t>
  </si>
  <si>
    <t>Före finalen</t>
  </si>
  <si>
    <t>Finalen</t>
  </si>
  <si>
    <t>Tullinge SK</t>
  </si>
  <si>
    <t>Järfälla OK</t>
  </si>
  <si>
    <t>Tumba-Mälarhöjden OK</t>
  </si>
  <si>
    <t>Sundbybergs IK</t>
  </si>
  <si>
    <t>OK Ravinen</t>
  </si>
  <si>
    <t>Järla Orientering</t>
  </si>
  <si>
    <t>Täby OK</t>
  </si>
  <si>
    <t>Skogsluffarnas OK</t>
  </si>
  <si>
    <t>IFK Lidingö SOK</t>
  </si>
  <si>
    <t>Attunda OK</t>
  </si>
  <si>
    <t>OK Södertörn</t>
  </si>
  <si>
    <t>Väsby OK</t>
  </si>
  <si>
    <t>Skarpnäcks OL</t>
  </si>
  <si>
    <t>OK Älvsjö-Örby</t>
  </si>
  <si>
    <t>Waxholms OK</t>
  </si>
  <si>
    <t>Mälarö SOK</t>
  </si>
  <si>
    <t>Bromma-Vällingby SOK</t>
  </si>
  <si>
    <t>Gustavsbergs OK</t>
  </si>
  <si>
    <t>OK Österåker</t>
  </si>
  <si>
    <t>Hellas Orientering</t>
  </si>
  <si>
    <t>Enebybergs IF</t>
  </si>
  <si>
    <t>Solna OK</t>
  </si>
  <si>
    <t>Nynäshamns 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</si>
</sst>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h:mm:ss;@"/>
  </numFmts>
  <fonts count="2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21" fontId="0" fillId="0" borderId="0" xfId="0" applyNumberFormat="1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" fillId="0" borderId="0" xfId="0" applyFont="1"/>
    <xf numFmtId="20" fontId="0" fillId="0" borderId="0" xfId="0" applyNumberFormat="1"/>
    <xf numFmtId="22" fontId="0" fillId="0" borderId="0" xfId="0" applyNumberFormat="1"/>
  </cellXfs>
  <cellStyles count="1">
    <cellStyle name="Normal" xfId="0" builtinId="0"/>
  </cellStyles>
  <dxfs count="6">
    <dxf>
      <numFmt numFmtId="0" formatCode="General"/>
    </dxf>
    <dxf>
      <numFmt numFmtId="0" formatCode="General"/>
    </dxf>
    <dxf>
      <numFmt numFmtId="0" formatCode="General"/>
    </dxf>
    <dxf>
      <numFmt numFmtId="164" formatCode="hh:mm:ss;@"/>
    </dxf>
    <dxf>
      <numFmt numFmtId="164" formatCode="hh:mm:ss;@"/>
    </dxf>
    <dxf>
      <numFmt numFmtId="26" formatCode="hh:mm:ss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s Larsson" refreshedDate="42136.926347106484" createdVersion="5" refreshedVersion="5" minRefreshableVersion="3" recordCount="150" xr:uid="{00000000-000A-0000-FFFF-FFFF78000000}">
  <cacheSource type="worksheet">
    <worksheetSource name="Table_ungdomsserien2013_resultat"/>
  </cacheSource>
  <cacheFields count="8">
    <cacheField name="Klass" numFmtId="0">
      <sharedItems count="19">
        <s v="D16"/>
        <s v="H16"/>
        <s v="H16K"/>
        <s v="D14"/>
        <s v="H14"/>
        <s v="D14K"/>
        <s v="H14K"/>
        <s v="D12"/>
        <s v="H12"/>
        <s v="D12K"/>
        <s v="H12K"/>
        <s v="D10"/>
        <s v="H10"/>
        <s v="Insk"/>
        <s v="U1"/>
        <s v="U2"/>
        <s v="U3"/>
        <s v="U4" u="1"/>
        <s v="D16K" u="1"/>
      </sharedItems>
    </cacheField>
    <cacheField name="Namn" numFmtId="0">
      <sharedItems/>
    </cacheField>
    <cacheField name="Klubb" numFmtId="0">
      <sharedItems count="7">
        <s v="Snättringe SK"/>
        <s v="Söders-Tyresö"/>
        <s v="Haninge SOK"/>
        <s v="IFK Enskede"/>
        <s v="Ludvika OK" u="1"/>
        <s v="OK Södertörn" u="1"/>
        <s v="Skogsluffarnas OK" u="1"/>
      </sharedItems>
    </cacheField>
    <cacheField name="Tid" numFmtId="21">
      <sharedItems containsNonDate="0" containsDate="1" containsString="0" containsBlank="1" minDate="2015-05-12T00:14:55" maxDate="2015-05-12T01:40:47"/>
    </cacheField>
    <cacheField name="Status" numFmtId="0">
      <sharedItems/>
    </cacheField>
    <cacheField name="Bästa tid" numFmtId="164">
      <sharedItems containsSemiMixedTypes="0" containsNonDate="0" containsDate="1" containsString="0" minDate="2015-05-12T00:14:55" maxDate="2015-05-12T00:51:10"/>
    </cacheField>
    <cacheField name="Tid efter" numFmtId="164">
      <sharedItems containsDate="1" containsMixedTypes="1" minDate="1899-12-30T00:00:00" maxDate="1899-12-31T00:00:00"/>
    </cacheField>
    <cacheField name="Poäng" numFmtId="0">
      <sharedItems containsSemiMixedTypes="0" containsString="0" containsNumber="1" containsInteger="1" minValue="0" maxValue="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50">
  <r>
    <x v="0"/>
    <s v="Vilma Karlsson"/>
    <x v="0"/>
    <d v="2015-05-12T00:40:48"/>
    <s v="passed"/>
    <d v="2015-05-12T00:40:48"/>
    <d v="1899-12-30T00:00:00"/>
    <n v="50"/>
  </r>
  <r>
    <x v="0"/>
    <s v="Kristina Tedhamre"/>
    <x v="0"/>
    <d v="2015-05-12T00:42:09"/>
    <s v="passed"/>
    <d v="2015-05-12T00:40:48"/>
    <d v="1899-12-30T00:01:21"/>
    <n v="46"/>
  </r>
  <r>
    <x v="0"/>
    <s v="Sofia Fureby"/>
    <x v="0"/>
    <m/>
    <s v="notValid"/>
    <d v="2015-05-12T00:40:48"/>
    <e v="#N/A"/>
    <n v="5"/>
  </r>
  <r>
    <x v="1"/>
    <s v="Fredrik Glännefors"/>
    <x v="1"/>
    <d v="2015-05-12T00:41:59"/>
    <s v="passed"/>
    <d v="2015-05-12T00:41:59"/>
    <d v="1899-12-30T00:00:00"/>
    <n v="50"/>
  </r>
  <r>
    <x v="1"/>
    <s v="Tobias Karlsson"/>
    <x v="0"/>
    <d v="2015-05-12T00:43:37"/>
    <s v="passed"/>
    <d v="2015-05-12T00:41:59"/>
    <d v="1899-12-30T00:01:38"/>
    <n v="46"/>
  </r>
  <r>
    <x v="1"/>
    <s v="Ivar Lidström Lauri"/>
    <x v="0"/>
    <d v="2015-05-12T00:44:33"/>
    <s v="passed"/>
    <d v="2015-05-12T00:41:59"/>
    <d v="1899-12-30T00:02:34"/>
    <n v="44"/>
  </r>
  <r>
    <x v="1"/>
    <s v="Emil Andersson"/>
    <x v="2"/>
    <d v="2015-05-12T01:08:48"/>
    <s v="passed"/>
    <d v="2015-05-12T00:41:59"/>
    <d v="1899-12-30T00:26:49"/>
    <n v="15"/>
  </r>
  <r>
    <x v="1"/>
    <s v="Martin Skärlén"/>
    <x v="2"/>
    <d v="2015-05-12T01:15:14"/>
    <s v="passed"/>
    <d v="2015-05-12T00:41:59"/>
    <d v="1899-12-30T00:33:15"/>
    <n v="15"/>
  </r>
  <r>
    <x v="1"/>
    <s v="Mattias Kallhauge"/>
    <x v="0"/>
    <m/>
    <s v="notStarted"/>
    <d v="2015-05-12T00:41:59"/>
    <e v="#N/A"/>
    <n v="0"/>
  </r>
  <r>
    <x v="1"/>
    <s v="Eskil Brännerud"/>
    <x v="1"/>
    <m/>
    <s v="notStarted"/>
    <d v="2015-05-12T00:41:59"/>
    <e v="#N/A"/>
    <n v="0"/>
  </r>
  <r>
    <x v="1"/>
    <s v="Viking Freij"/>
    <x v="0"/>
    <m/>
    <s v="notStarted"/>
    <d v="2015-05-12T00:41:59"/>
    <e v="#N/A"/>
    <n v="0"/>
  </r>
  <r>
    <x v="1"/>
    <s v="Felix Persson"/>
    <x v="2"/>
    <m/>
    <s v="notStarted"/>
    <d v="2015-05-12T00:41:59"/>
    <e v="#N/A"/>
    <n v="0"/>
  </r>
  <r>
    <x v="2"/>
    <s v="Gustav Lidmar"/>
    <x v="0"/>
    <d v="2015-05-12T00:51:10"/>
    <s v="passed"/>
    <d v="2015-05-12T00:51:10"/>
    <d v="1899-12-30T00:00:00"/>
    <n v="50"/>
  </r>
  <r>
    <x v="2"/>
    <s v="Albin Rydén"/>
    <x v="0"/>
    <d v="2015-05-12T00:53:25"/>
    <s v="passed"/>
    <d v="2015-05-12T00:51:10"/>
    <d v="1899-12-30T00:02:15"/>
    <n v="44"/>
  </r>
  <r>
    <x v="2"/>
    <s v="Gustav Nirvin"/>
    <x v="2"/>
    <d v="2015-05-12T01:11:59"/>
    <s v="passed"/>
    <d v="2015-05-12T00:51:10"/>
    <d v="1899-12-30T00:20:49"/>
    <n v="15"/>
  </r>
  <r>
    <x v="2"/>
    <s v="Kristoffer Rydén"/>
    <x v="2"/>
    <d v="2015-05-12T01:14:14"/>
    <s v="passed"/>
    <d v="2015-05-12T00:51:10"/>
    <d v="1899-12-30T00:23:04"/>
    <n v="15"/>
  </r>
  <r>
    <x v="3"/>
    <s v="Nina Persson"/>
    <x v="2"/>
    <d v="2015-05-12T00:38:55"/>
    <s v="passed"/>
    <d v="2015-05-12T00:38:55"/>
    <d v="1899-12-30T00:00:00"/>
    <n v="50"/>
  </r>
  <r>
    <x v="3"/>
    <s v="Emma Stråhle"/>
    <x v="1"/>
    <d v="2015-05-12T01:08:31"/>
    <s v="passed"/>
    <d v="2015-05-12T00:38:55"/>
    <d v="1899-12-30T00:29:36"/>
    <n v="15"/>
  </r>
  <r>
    <x v="3"/>
    <s v="Ella Karlsson"/>
    <x v="0"/>
    <m/>
    <s v="notValid"/>
    <d v="2015-05-12T00:38:55"/>
    <e v="#N/A"/>
    <n v="5"/>
  </r>
  <r>
    <x v="4"/>
    <s v="Jakob Nau"/>
    <x v="2"/>
    <d v="2015-05-12T00:42:12"/>
    <s v="passed"/>
    <d v="2015-05-12T00:42:12"/>
    <d v="1899-12-30T00:00:00"/>
    <n v="50"/>
  </r>
  <r>
    <x v="4"/>
    <s v="Albin Hainke"/>
    <x v="0"/>
    <d v="2015-05-12T00:49:09"/>
    <s v="passed"/>
    <d v="2015-05-12T00:42:12"/>
    <d v="1899-12-30T00:06:57"/>
    <n v="36"/>
  </r>
  <r>
    <x v="4"/>
    <s v="Elias Norrman"/>
    <x v="2"/>
    <d v="2015-05-12T00:50:09"/>
    <s v="passed"/>
    <d v="2015-05-12T00:42:12"/>
    <d v="1899-12-30T00:07:57"/>
    <n v="34"/>
  </r>
  <r>
    <x v="4"/>
    <s v="David Bern"/>
    <x v="0"/>
    <d v="2015-05-12T01:00:49"/>
    <s v="passed"/>
    <d v="2015-05-12T00:42:12"/>
    <d v="1899-12-30T00:18:37"/>
    <n v="15"/>
  </r>
  <r>
    <x v="4"/>
    <s v="Rasmus Klingberg"/>
    <x v="0"/>
    <d v="2015-05-12T01:00:55"/>
    <s v="passed"/>
    <d v="2015-05-12T00:42:12"/>
    <d v="1899-12-30T00:18:43"/>
    <n v="15"/>
  </r>
  <r>
    <x v="4"/>
    <s v="Josef Franzén"/>
    <x v="0"/>
    <d v="2015-05-12T01:02:09"/>
    <s v="passed"/>
    <d v="2015-05-12T00:42:12"/>
    <d v="1899-12-30T00:19:57"/>
    <n v="15"/>
  </r>
  <r>
    <x v="4"/>
    <s v="John Wolgast"/>
    <x v="0"/>
    <d v="2015-05-12T01:08:13"/>
    <s v="passed"/>
    <d v="2015-05-12T00:42:12"/>
    <d v="1899-12-30T00:26:01"/>
    <n v="15"/>
  </r>
  <r>
    <x v="4"/>
    <s v="Jacob Wolgast"/>
    <x v="0"/>
    <d v="2015-05-12T01:40:47"/>
    <s v="passed"/>
    <d v="2015-05-12T00:42:12"/>
    <d v="1899-12-30T00:58:35"/>
    <n v="15"/>
  </r>
  <r>
    <x v="4"/>
    <s v="Johan Calleberg"/>
    <x v="0"/>
    <m/>
    <s v="notValid"/>
    <d v="2015-05-12T00:42:12"/>
    <e v="#N/A"/>
    <n v="5"/>
  </r>
  <r>
    <x v="4"/>
    <s v="Erik Lidström Lauri "/>
    <x v="0"/>
    <m/>
    <s v="notValid"/>
    <d v="2015-05-12T00:42:12"/>
    <e v="#N/A"/>
    <n v="5"/>
  </r>
  <r>
    <x v="4"/>
    <s v="Jesper Lidmar"/>
    <x v="0"/>
    <m/>
    <s v="notStarted"/>
    <d v="2015-05-12T00:42:12"/>
    <e v="#N/A"/>
    <n v="0"/>
  </r>
  <r>
    <x v="4"/>
    <s v="Erik Norlin"/>
    <x v="3"/>
    <m/>
    <s v="notStarted"/>
    <d v="2015-05-12T00:42:12"/>
    <e v="#N/A"/>
    <n v="0"/>
  </r>
  <r>
    <x v="5"/>
    <s v="Vanja Pennebrink"/>
    <x v="0"/>
    <d v="2015-05-12T00:42:47"/>
    <s v="passed"/>
    <d v="2015-05-12T00:42:47"/>
    <d v="1899-12-30T00:00:00"/>
    <n v="50"/>
  </r>
  <r>
    <x v="5"/>
    <s v="Vendela Borg"/>
    <x v="2"/>
    <m/>
    <s v="notStarted"/>
    <d v="2015-05-12T00:42:47"/>
    <e v="#N/A"/>
    <n v="0"/>
  </r>
  <r>
    <x v="5"/>
    <s v="Izabella Czechowski"/>
    <x v="2"/>
    <m/>
    <s v="notStarted"/>
    <d v="2015-05-12T00:42:47"/>
    <e v="#N/A"/>
    <n v="0"/>
  </r>
  <r>
    <x v="5"/>
    <s v="Olivia Hultman"/>
    <x v="2"/>
    <m/>
    <s v="notStarted"/>
    <d v="2015-05-12T00:42:47"/>
    <e v="#N/A"/>
    <n v="0"/>
  </r>
  <r>
    <x v="6"/>
    <s v="Elias Skott"/>
    <x v="3"/>
    <d v="2015-05-12T00:29:05"/>
    <s v="passed"/>
    <d v="2015-05-12T00:29:05"/>
    <d v="1899-12-30T00:00:00"/>
    <n v="50"/>
  </r>
  <r>
    <x v="6"/>
    <s v="Andreas Boräng"/>
    <x v="0"/>
    <d v="2015-05-12T00:30:22"/>
    <s v="passed"/>
    <d v="2015-05-12T00:29:05"/>
    <d v="1899-12-30T00:01:17"/>
    <n v="46"/>
  </r>
  <r>
    <x v="6"/>
    <s v="Ludde Blom"/>
    <x v="3"/>
    <d v="2015-05-12T00:35:43"/>
    <s v="passed"/>
    <d v="2015-05-12T00:29:05"/>
    <d v="1899-12-30T00:06:38"/>
    <n v="36"/>
  </r>
  <r>
    <x v="6"/>
    <s v="Nils Rundström"/>
    <x v="3"/>
    <d v="2015-05-12T00:35:47"/>
    <s v="passed"/>
    <d v="2015-05-12T00:29:05"/>
    <d v="1899-12-30T00:06:42"/>
    <n v="36"/>
  </r>
  <r>
    <x v="6"/>
    <s v="Sebastian Sandblom"/>
    <x v="0"/>
    <d v="2015-05-12T00:36:14"/>
    <s v="passed"/>
    <d v="2015-05-12T00:29:05"/>
    <d v="1899-12-30T00:07:09"/>
    <n v="34"/>
  </r>
  <r>
    <x v="6"/>
    <s v="Pontus Axell"/>
    <x v="3"/>
    <d v="2015-05-12T00:42:31"/>
    <s v="passed"/>
    <d v="2015-05-12T00:29:05"/>
    <d v="1899-12-30T00:13:26"/>
    <n v="22"/>
  </r>
  <r>
    <x v="6"/>
    <s v="Teodor Norberg"/>
    <x v="3"/>
    <d v="2015-05-12T01:14:06"/>
    <s v="passed"/>
    <d v="2015-05-12T00:29:05"/>
    <d v="1899-12-30T00:45:01"/>
    <n v="15"/>
  </r>
  <r>
    <x v="6"/>
    <s v="Linus Liljeholm"/>
    <x v="2"/>
    <m/>
    <s v="notStarted"/>
    <d v="2015-05-12T00:29:05"/>
    <e v="#N/A"/>
    <n v="0"/>
  </r>
  <r>
    <x v="7"/>
    <s v="Hedda Röstin"/>
    <x v="1"/>
    <d v="2015-05-12T00:31:02"/>
    <s v="passed"/>
    <d v="2015-05-12T00:31:02"/>
    <d v="1899-12-30T00:00:00"/>
    <n v="50"/>
  </r>
  <r>
    <x v="7"/>
    <s v="Martina Mäkelä"/>
    <x v="2"/>
    <d v="2015-05-12T00:45:49"/>
    <s v="passed"/>
    <d v="2015-05-12T00:31:02"/>
    <d v="1899-12-30T00:14:47"/>
    <n v="20"/>
  </r>
  <r>
    <x v="7"/>
    <s v="Elin Wolgast"/>
    <x v="0"/>
    <d v="2015-05-12T00:47:10"/>
    <s v="passed"/>
    <d v="2015-05-12T00:31:02"/>
    <d v="1899-12-30T00:16:08"/>
    <n v="16"/>
  </r>
  <r>
    <x v="7"/>
    <s v="Helena Bern"/>
    <x v="0"/>
    <m/>
    <s v="notValid"/>
    <d v="2015-05-12T00:31:02"/>
    <e v="#N/A"/>
    <n v="5"/>
  </r>
  <r>
    <x v="8"/>
    <s v="Isak Gelius"/>
    <x v="0"/>
    <d v="2015-05-12T00:21:21"/>
    <s v="passed"/>
    <d v="2015-05-12T00:21:21"/>
    <d v="1899-12-30T00:00:00"/>
    <n v="50"/>
  </r>
  <r>
    <x v="8"/>
    <s v="Oskar Haglund"/>
    <x v="2"/>
    <d v="2015-05-12T00:27:05"/>
    <s v="passed"/>
    <d v="2015-05-12T00:21:21"/>
    <d v="1899-12-30T00:05:44"/>
    <n v="38"/>
  </r>
  <r>
    <x v="8"/>
    <s v="Filip Storell"/>
    <x v="2"/>
    <d v="2015-05-12T00:28:18"/>
    <s v="passed"/>
    <d v="2015-05-12T00:21:21"/>
    <d v="1899-12-30T00:06:57"/>
    <n v="36"/>
  </r>
  <r>
    <x v="8"/>
    <s v="Carl-Johan Krook"/>
    <x v="1"/>
    <d v="2015-05-12T00:33:04"/>
    <s v="passed"/>
    <d v="2015-05-12T00:21:21"/>
    <d v="1899-12-30T00:11:43"/>
    <n v="26"/>
  </r>
  <r>
    <x v="8"/>
    <s v="Lucas Chavda"/>
    <x v="1"/>
    <d v="2015-05-12T00:33:34"/>
    <s v="passed"/>
    <d v="2015-05-12T00:21:21"/>
    <d v="1899-12-30T00:12:13"/>
    <n v="24"/>
  </r>
  <r>
    <x v="8"/>
    <s v="Oskar Ekner"/>
    <x v="0"/>
    <d v="2015-05-12T00:34:54"/>
    <s v="passed"/>
    <d v="2015-05-12T00:21:21"/>
    <d v="1899-12-30T00:13:33"/>
    <n v="22"/>
  </r>
  <r>
    <x v="8"/>
    <s v="Olle Thimberg"/>
    <x v="1"/>
    <d v="2015-05-12T00:36:14"/>
    <s v="passed"/>
    <d v="2015-05-12T00:21:21"/>
    <d v="1899-12-30T00:14:53"/>
    <n v="20"/>
  </r>
  <r>
    <x v="8"/>
    <s v="Elis Rundström"/>
    <x v="3"/>
    <d v="2015-05-12T00:36:54"/>
    <s v="passed"/>
    <d v="2015-05-12T00:21:21"/>
    <d v="1899-12-30T00:15:33"/>
    <n v="18"/>
  </r>
  <r>
    <x v="8"/>
    <s v="Jacob Kennerhed"/>
    <x v="0"/>
    <d v="2015-05-12T00:37:26"/>
    <s v="passed"/>
    <d v="2015-05-12T00:21:21"/>
    <d v="1899-12-30T00:16:05"/>
    <n v="16"/>
  </r>
  <r>
    <x v="8"/>
    <s v="Mattias Hedin"/>
    <x v="1"/>
    <d v="2015-05-12T00:45:32"/>
    <s v="passed"/>
    <d v="2015-05-12T00:21:21"/>
    <d v="1899-12-30T00:24:11"/>
    <n v="15"/>
  </r>
  <r>
    <x v="8"/>
    <s v="Ivo Clarhäll"/>
    <x v="1"/>
    <d v="2015-05-12T00:45:34"/>
    <s v="passed"/>
    <d v="2015-05-12T00:21:21"/>
    <d v="1899-12-30T00:24:13"/>
    <n v="15"/>
  </r>
  <r>
    <x v="8"/>
    <s v="Albert Nord"/>
    <x v="0"/>
    <d v="2015-05-12T00:50:57"/>
    <s v="passed"/>
    <d v="2015-05-12T00:21:21"/>
    <d v="1899-12-30T00:29:36"/>
    <n v="15"/>
  </r>
  <r>
    <x v="8"/>
    <s v="Antoni Kowalik"/>
    <x v="0"/>
    <d v="2015-05-12T00:56:41"/>
    <s v="passed"/>
    <d v="2015-05-12T00:21:21"/>
    <d v="1899-12-30T00:35:20"/>
    <n v="15"/>
  </r>
  <r>
    <x v="8"/>
    <s v="David Törnqvist"/>
    <x v="0"/>
    <d v="2015-05-12T00:57:19"/>
    <s v="passed"/>
    <d v="2015-05-12T00:21:21"/>
    <d v="1899-12-30T00:35:58"/>
    <n v="15"/>
  </r>
  <r>
    <x v="8"/>
    <s v="Jakob Tedhamre"/>
    <x v="0"/>
    <m/>
    <s v="notValid"/>
    <d v="2015-05-12T00:21:21"/>
    <e v="#N/A"/>
    <n v="5"/>
  </r>
  <r>
    <x v="8"/>
    <s v="Johan Fredholm"/>
    <x v="0"/>
    <m/>
    <s v="notStarted"/>
    <d v="2015-05-12T00:21:21"/>
    <e v="#N/A"/>
    <n v="0"/>
  </r>
  <r>
    <x v="9"/>
    <s v="Saga Svennersjö"/>
    <x v="0"/>
    <d v="2015-05-12T00:51:06"/>
    <s v="passed"/>
    <d v="2015-05-12T00:51:06"/>
    <d v="1899-12-30T00:00:00"/>
    <n v="50"/>
  </r>
  <r>
    <x v="9"/>
    <s v="Elvira Hagström"/>
    <x v="0"/>
    <d v="2015-05-12T00:52:08"/>
    <s v="passed"/>
    <d v="2015-05-12T00:51:06"/>
    <d v="1899-12-30T00:01:02"/>
    <n v="46"/>
  </r>
  <r>
    <x v="9"/>
    <s v="Alicia Kallhauge"/>
    <x v="0"/>
    <m/>
    <s v="notValid"/>
    <d v="2015-05-12T00:51:06"/>
    <e v="#N/A"/>
    <n v="5"/>
  </r>
  <r>
    <x v="10"/>
    <s v="Harald Barck-Holst"/>
    <x v="0"/>
    <d v="2015-05-12T00:17:56"/>
    <s v="passed"/>
    <d v="2015-05-12T00:17:56"/>
    <d v="1899-12-30T00:00:00"/>
    <n v="50"/>
  </r>
  <r>
    <x v="10"/>
    <s v="Tage Mührer"/>
    <x v="3"/>
    <d v="2015-05-12T00:21:24"/>
    <s v="passed"/>
    <d v="2015-05-12T00:17:56"/>
    <d v="1899-12-30T00:03:28"/>
    <n v="42"/>
  </r>
  <r>
    <x v="10"/>
    <s v="Felix Tunell"/>
    <x v="2"/>
    <d v="2015-05-12T00:44:34"/>
    <s v="passed"/>
    <d v="2015-05-12T00:17:56"/>
    <d v="1899-12-30T00:26:38"/>
    <n v="15"/>
  </r>
  <r>
    <x v="10"/>
    <s v="Filip Flodström"/>
    <x v="3"/>
    <m/>
    <s v="notStarted"/>
    <d v="2015-05-12T00:17:56"/>
    <e v="#N/A"/>
    <n v="0"/>
  </r>
  <r>
    <x v="11"/>
    <s v="Alva Lidström Lauri"/>
    <x v="0"/>
    <d v="2015-05-12T00:17:16"/>
    <s v="passed"/>
    <d v="2015-05-12T00:17:16"/>
    <d v="1899-12-30T00:00:00"/>
    <n v="50"/>
  </r>
  <r>
    <x v="11"/>
    <s v="Hanna Carlqvist"/>
    <x v="0"/>
    <d v="2015-05-12T00:20:37"/>
    <s v="passed"/>
    <d v="2015-05-12T00:17:16"/>
    <d v="1899-12-30T00:03:21"/>
    <n v="42"/>
  </r>
  <r>
    <x v="11"/>
    <s v="Lovisa Lindqvist"/>
    <x v="3"/>
    <d v="2015-05-12T00:21:05"/>
    <s v="passed"/>
    <d v="2015-05-12T00:17:16"/>
    <d v="1899-12-30T00:03:49"/>
    <n v="42"/>
  </r>
  <r>
    <x v="11"/>
    <s v="Emma Hallendal"/>
    <x v="3"/>
    <d v="2015-05-12T00:22:50"/>
    <s v="passed"/>
    <d v="2015-05-12T00:17:16"/>
    <d v="1899-12-30T00:05:34"/>
    <n v="38"/>
  </r>
  <r>
    <x v="11"/>
    <s v="Ellen Sandblom"/>
    <x v="0"/>
    <d v="2015-05-12T00:24:58"/>
    <s v="passed"/>
    <d v="2015-05-12T00:17:16"/>
    <d v="1899-12-30T00:07:42"/>
    <n v="34"/>
  </r>
  <r>
    <x v="11"/>
    <s v="Linn Deboussard"/>
    <x v="3"/>
    <d v="2015-05-12T00:28:28"/>
    <s v="passed"/>
    <d v="2015-05-12T00:17:16"/>
    <d v="1899-12-30T00:11:12"/>
    <n v="26"/>
  </r>
  <r>
    <x v="11"/>
    <s v="Molly Gelius"/>
    <x v="0"/>
    <d v="2015-05-12T00:35:07"/>
    <s v="passed"/>
    <d v="2015-05-12T00:17:16"/>
    <d v="1899-12-30T00:17:51"/>
    <n v="15"/>
  </r>
  <r>
    <x v="12"/>
    <s v="Erik Nederheim"/>
    <x v="2"/>
    <d v="2015-05-12T00:15:34"/>
    <s v="passed"/>
    <d v="2015-05-12T00:15:34"/>
    <d v="1899-12-30T00:00:00"/>
    <n v="50"/>
  </r>
  <r>
    <x v="12"/>
    <s v="Hannes Lindqvist"/>
    <x v="3"/>
    <d v="2015-05-12T00:16:46"/>
    <s v="passed"/>
    <d v="2015-05-12T00:15:34"/>
    <d v="1899-12-30T00:01:12"/>
    <n v="46"/>
  </r>
  <r>
    <x v="12"/>
    <s v="Gustav Haglund"/>
    <x v="2"/>
    <d v="2015-05-12T00:19:34"/>
    <s v="passed"/>
    <d v="2015-05-12T00:15:34"/>
    <d v="1899-12-30T00:04:00"/>
    <n v="42"/>
  </r>
  <r>
    <x v="12"/>
    <s v="Stanislaw Kowalik"/>
    <x v="0"/>
    <d v="2015-05-12T00:27:22"/>
    <s v="passed"/>
    <d v="2015-05-12T00:15:34"/>
    <d v="1899-12-30T00:11:48"/>
    <n v="26"/>
  </r>
  <r>
    <x v="12"/>
    <s v="Peter Lindvall"/>
    <x v="2"/>
    <d v="2015-05-12T00:28:00"/>
    <s v="passed"/>
    <d v="2015-05-12T00:15:34"/>
    <d v="1899-12-30T00:12:26"/>
    <n v="24"/>
  </r>
  <r>
    <x v="12"/>
    <s v="Anton Dyrelius"/>
    <x v="0"/>
    <d v="2015-05-12T00:29:14"/>
    <s v="passed"/>
    <d v="2015-05-12T00:15:34"/>
    <d v="1899-12-30T00:13:40"/>
    <n v="22"/>
  </r>
  <r>
    <x v="12"/>
    <s v="Gustav Storell"/>
    <x v="2"/>
    <d v="2015-05-12T00:31:15"/>
    <s v="passed"/>
    <d v="2015-05-12T00:15:34"/>
    <d v="1899-12-30T00:15:41"/>
    <n v="18"/>
  </r>
  <r>
    <x v="13"/>
    <s v="Henrik Haglund"/>
    <x v="2"/>
    <d v="2015-05-12T00:17:42"/>
    <s v="passed"/>
    <d v="2015-05-12T00:17:42"/>
    <d v="1899-12-30T00:00:00"/>
    <n v="10"/>
  </r>
  <r>
    <x v="13"/>
    <s v="Samuel Svennersjö"/>
    <x v="0"/>
    <d v="2015-05-12T00:20:29"/>
    <s v="passed"/>
    <d v="2015-05-12T00:17:42"/>
    <d v="1899-12-30T00:02:47"/>
    <n v="10"/>
  </r>
  <r>
    <x v="13"/>
    <s v="Wilhelm Engstrand"/>
    <x v="0"/>
    <d v="2015-05-12T00:20:41"/>
    <s v="passed"/>
    <d v="2015-05-12T00:17:42"/>
    <d v="1899-12-30T00:02:59"/>
    <n v="10"/>
  </r>
  <r>
    <x v="13"/>
    <s v="Lovisa Nederheim"/>
    <x v="2"/>
    <d v="2015-05-12T00:23:12"/>
    <s v="passed"/>
    <d v="2015-05-12T00:17:42"/>
    <d v="1899-12-30T00:05:30"/>
    <n v="10"/>
  </r>
  <r>
    <x v="13"/>
    <s v="Elin Storell"/>
    <x v="2"/>
    <d v="2015-05-12T00:25:05"/>
    <s v="passed"/>
    <d v="2015-05-12T00:17:42"/>
    <d v="1899-12-30T00:07:23"/>
    <n v="10"/>
  </r>
  <r>
    <x v="13"/>
    <s v="Folke Barck-Holst"/>
    <x v="0"/>
    <d v="2015-05-12T00:25:12"/>
    <s v="passed"/>
    <d v="2015-05-12T00:17:42"/>
    <d v="1899-12-30T00:07:30"/>
    <n v="10"/>
  </r>
  <r>
    <x v="13"/>
    <s v="Hugo Abel"/>
    <x v="0"/>
    <d v="2015-05-12T00:27:40"/>
    <s v="passed"/>
    <d v="2015-05-12T00:17:42"/>
    <d v="1899-12-30T00:09:58"/>
    <n v="10"/>
  </r>
  <r>
    <x v="13"/>
    <s v="Rasmus Fujii"/>
    <x v="0"/>
    <d v="2015-05-12T00:34:06"/>
    <s v="passed"/>
    <d v="2015-05-12T00:17:42"/>
    <d v="1899-12-30T00:16:24"/>
    <n v="10"/>
  </r>
  <r>
    <x v="13"/>
    <s v="Alvin Chavda"/>
    <x v="1"/>
    <d v="2015-05-12T00:40:15"/>
    <s v="passed"/>
    <d v="2015-05-12T00:17:42"/>
    <d v="1899-12-30T00:22:33"/>
    <n v="10"/>
  </r>
  <r>
    <x v="14"/>
    <s v="Erik Norin"/>
    <x v="1"/>
    <d v="2015-05-12T00:14:55"/>
    <s v="passed"/>
    <d v="2015-05-12T00:14:55"/>
    <d v="1899-12-30T00:00:00"/>
    <n v="40"/>
  </r>
  <r>
    <x v="14"/>
    <s v="David Nyberg"/>
    <x v="0"/>
    <d v="2015-05-12T00:15:07"/>
    <s v="passed"/>
    <d v="2015-05-12T00:14:55"/>
    <d v="1899-12-30T00:00:12"/>
    <n v="38"/>
  </r>
  <r>
    <x v="14"/>
    <s v="Hugo Ziegler"/>
    <x v="0"/>
    <d v="2015-05-12T00:16:30"/>
    <s v="passed"/>
    <d v="2015-05-12T00:14:55"/>
    <d v="1899-12-30T00:01:35"/>
    <n v="36"/>
  </r>
  <r>
    <x v="14"/>
    <s v="Hugo Pelander"/>
    <x v="0"/>
    <d v="2015-05-12T00:16:37"/>
    <s v="passed"/>
    <d v="2015-05-12T00:14:55"/>
    <d v="1899-12-30T00:01:42"/>
    <n v="36"/>
  </r>
  <r>
    <x v="14"/>
    <s v="Magnus Barck-Holst"/>
    <x v="0"/>
    <d v="2015-05-12T00:17:01"/>
    <s v="passed"/>
    <d v="2015-05-12T00:14:55"/>
    <d v="1899-12-30T00:02:06"/>
    <n v="34"/>
  </r>
  <r>
    <x v="14"/>
    <s v="Lina Chavda"/>
    <x v="1"/>
    <d v="2015-05-12T00:17:41"/>
    <s v="passed"/>
    <d v="2015-05-12T00:14:55"/>
    <d v="1899-12-30T00:02:46"/>
    <n v="34"/>
  </r>
  <r>
    <x v="14"/>
    <s v="Hanna Lundin"/>
    <x v="3"/>
    <d v="2015-05-12T00:17:58"/>
    <s v="passed"/>
    <d v="2015-05-12T00:14:55"/>
    <d v="1899-12-30T00:03:03"/>
    <n v="32"/>
  </r>
  <r>
    <x v="14"/>
    <s v="Gabriel Carlqvist"/>
    <x v="0"/>
    <d v="2015-05-12T00:18:05"/>
    <s v="passed"/>
    <d v="2015-05-12T00:14:55"/>
    <d v="1899-12-30T00:03:10"/>
    <n v="32"/>
  </r>
  <r>
    <x v="14"/>
    <s v="Isac Wester"/>
    <x v="2"/>
    <d v="2015-05-12T00:18:18"/>
    <s v="passed"/>
    <d v="2015-05-12T00:14:55"/>
    <d v="1899-12-30T00:03:23"/>
    <n v="32"/>
  </r>
  <r>
    <x v="14"/>
    <s v="Maja Thimberg"/>
    <x v="1"/>
    <d v="2015-05-12T00:18:33"/>
    <s v="passed"/>
    <d v="2015-05-12T00:14:55"/>
    <d v="1899-12-30T00:03:38"/>
    <n v="32"/>
  </r>
  <r>
    <x v="14"/>
    <s v="Elion Reimeringer"/>
    <x v="2"/>
    <d v="2015-05-12T00:19:01"/>
    <s v="passed"/>
    <d v="2015-05-12T00:14:55"/>
    <d v="1899-12-30T00:04:06"/>
    <n v="30"/>
  </r>
  <r>
    <x v="14"/>
    <s v="Emil Brinell"/>
    <x v="2"/>
    <d v="2015-05-12T00:20:21"/>
    <s v="passed"/>
    <d v="2015-05-12T00:14:55"/>
    <d v="1899-12-30T00:05:26"/>
    <n v="28"/>
  </r>
  <r>
    <x v="14"/>
    <s v="Anton Hedström"/>
    <x v="1"/>
    <d v="2015-05-12T00:20:35"/>
    <s v="passed"/>
    <d v="2015-05-12T00:14:55"/>
    <d v="1899-12-30T00:05:40"/>
    <n v="28"/>
  </r>
  <r>
    <x v="14"/>
    <s v="Hilmar Hedin"/>
    <x v="3"/>
    <d v="2015-05-12T00:20:38"/>
    <s v="passed"/>
    <d v="2015-05-12T00:14:55"/>
    <d v="1899-12-30T00:05:43"/>
    <n v="28"/>
  </r>
  <r>
    <x v="14"/>
    <s v="John Rudung"/>
    <x v="2"/>
    <d v="2015-05-12T00:20:41"/>
    <s v="passed"/>
    <d v="2015-05-12T00:14:55"/>
    <d v="1899-12-30T00:05:46"/>
    <n v="28"/>
  </r>
  <r>
    <x v="14"/>
    <s v="Lukas Fujii"/>
    <x v="0"/>
    <d v="2015-05-12T00:21:41"/>
    <s v="passed"/>
    <d v="2015-05-12T00:14:55"/>
    <d v="1899-12-30T00:06:46"/>
    <n v="26"/>
  </r>
  <r>
    <x v="14"/>
    <s v="Edvin Söderlund"/>
    <x v="2"/>
    <d v="2015-05-12T00:22:05"/>
    <s v="passed"/>
    <d v="2015-05-12T00:14:55"/>
    <d v="1899-12-30T00:07:10"/>
    <n v="24"/>
  </r>
  <r>
    <x v="14"/>
    <s v="Smilla Green"/>
    <x v="3"/>
    <d v="2015-05-12T00:22:35"/>
    <s v="passed"/>
    <d v="2015-05-12T00:14:55"/>
    <d v="1899-12-30T00:07:40"/>
    <n v="24"/>
  </r>
  <r>
    <x v="14"/>
    <s v="Morgan Mäkelä"/>
    <x v="2"/>
    <d v="2015-05-12T00:22:37"/>
    <s v="passed"/>
    <d v="2015-05-12T00:14:55"/>
    <d v="1899-12-30T00:07:42"/>
    <n v="24"/>
  </r>
  <r>
    <x v="14"/>
    <s v="Anna Boström"/>
    <x v="0"/>
    <d v="2015-05-12T00:22:51"/>
    <s v="passed"/>
    <d v="2015-05-12T00:14:55"/>
    <d v="1899-12-30T00:07:56"/>
    <n v="24"/>
  </r>
  <r>
    <x v="14"/>
    <s v="Elin Lindhagen"/>
    <x v="3"/>
    <d v="2015-05-12T00:23:52"/>
    <s v="passed"/>
    <d v="2015-05-12T00:14:55"/>
    <d v="1899-12-30T00:08:57"/>
    <n v="22"/>
  </r>
  <r>
    <x v="14"/>
    <s v="Thea Söderlund"/>
    <x v="2"/>
    <d v="2015-05-12T00:24:03"/>
    <s v="passed"/>
    <d v="2015-05-12T00:14:55"/>
    <d v="1899-12-30T00:09:08"/>
    <n v="20"/>
  </r>
  <r>
    <x v="14"/>
    <s v="Cornelia Hagström"/>
    <x v="0"/>
    <d v="2015-05-12T00:24:25"/>
    <s v="passed"/>
    <d v="2015-05-12T00:14:55"/>
    <d v="1899-12-30T00:09:30"/>
    <n v="20"/>
  </r>
  <r>
    <x v="14"/>
    <s v="Anna Gredenhag"/>
    <x v="0"/>
    <d v="2015-05-12T00:26:15"/>
    <s v="passed"/>
    <d v="2015-05-12T00:14:55"/>
    <d v="1899-12-30T00:11:20"/>
    <n v="16"/>
  </r>
  <r>
    <x v="14"/>
    <s v="Thea Gelius"/>
    <x v="0"/>
    <d v="2015-05-12T00:26:16"/>
    <s v="passed"/>
    <d v="2015-05-12T00:14:55"/>
    <d v="1899-12-30T00:11:21"/>
    <n v="16"/>
  </r>
  <r>
    <x v="14"/>
    <s v="Emma Källman"/>
    <x v="2"/>
    <d v="2015-05-12T00:26:45"/>
    <s v="passed"/>
    <d v="2015-05-12T00:14:55"/>
    <d v="1899-12-30T00:11:50"/>
    <n v="16"/>
  </r>
  <r>
    <x v="14"/>
    <s v="Emilia Wikstrand"/>
    <x v="2"/>
    <d v="2015-05-12T00:26:47"/>
    <s v="passed"/>
    <d v="2015-05-12T00:14:55"/>
    <d v="1899-12-30T00:11:52"/>
    <n v="16"/>
  </r>
  <r>
    <x v="14"/>
    <s v="Alfred Wahren"/>
    <x v="1"/>
    <d v="2015-05-12T00:27:38"/>
    <s v="passed"/>
    <d v="2015-05-12T00:14:55"/>
    <d v="1899-12-30T00:12:43"/>
    <n v="14"/>
  </r>
  <r>
    <x v="14"/>
    <s v="Ludvig Rosendahl"/>
    <x v="0"/>
    <d v="2015-05-12T00:33:18"/>
    <s v="passed"/>
    <d v="2015-05-12T00:14:55"/>
    <d v="1899-12-30T00:18:23"/>
    <n v="10"/>
  </r>
  <r>
    <x v="14"/>
    <s v="Molly Green"/>
    <x v="3"/>
    <d v="2015-05-12T00:34:27"/>
    <s v="passed"/>
    <d v="2015-05-12T00:14:55"/>
    <d v="1899-12-30T00:19:32"/>
    <n v="10"/>
  </r>
  <r>
    <x v="14"/>
    <s v="Wilma Fredholm"/>
    <x v="0"/>
    <m/>
    <s v="notValid"/>
    <d v="2015-05-12T00:14:55"/>
    <e v="#N/A"/>
    <n v="5"/>
  </r>
  <r>
    <x v="14"/>
    <s v="Albert Mührer"/>
    <x v="3"/>
    <m/>
    <s v="notValid"/>
    <d v="2015-05-12T00:14:55"/>
    <e v="#N/A"/>
    <n v="5"/>
  </r>
  <r>
    <x v="14"/>
    <s v="Linus Nilevi"/>
    <x v="2"/>
    <m/>
    <s v="notStarted"/>
    <d v="2015-05-12T00:14:55"/>
    <e v="#N/A"/>
    <n v="0"/>
  </r>
  <r>
    <x v="14"/>
    <s v="Elin Theander"/>
    <x v="2"/>
    <m/>
    <s v="notStarted"/>
    <d v="2015-05-12T00:14:55"/>
    <e v="#N/A"/>
    <n v="0"/>
  </r>
  <r>
    <x v="15"/>
    <s v="Ludvig Nord"/>
    <x v="0"/>
    <d v="2015-05-12T00:19:00"/>
    <s v="passed"/>
    <d v="2015-05-12T00:19:00"/>
    <d v="1899-12-30T00:00:00"/>
    <n v="40"/>
  </r>
  <r>
    <x v="15"/>
    <s v="Joel Ljungberg"/>
    <x v="1"/>
    <d v="2015-05-12T00:21:18"/>
    <s v="passed"/>
    <d v="2015-05-12T00:19:00"/>
    <d v="1899-12-30T00:02:18"/>
    <n v="34"/>
  </r>
  <r>
    <x v="15"/>
    <s v="Arvid Löfstedt"/>
    <x v="2"/>
    <d v="2015-05-12T00:21:29"/>
    <s v="passed"/>
    <d v="2015-05-12T00:19:00"/>
    <d v="1899-12-30T00:02:29"/>
    <n v="34"/>
  </r>
  <r>
    <x v="15"/>
    <s v="Felicia Strindér"/>
    <x v="3"/>
    <d v="2015-05-12T00:21:42"/>
    <s v="passed"/>
    <d v="2015-05-12T00:19:00"/>
    <d v="1899-12-30T00:02:42"/>
    <n v="34"/>
  </r>
  <r>
    <x v="15"/>
    <s v="Elin Abel"/>
    <x v="0"/>
    <d v="2015-05-12T00:22:37"/>
    <s v="passed"/>
    <d v="2015-05-12T00:19:00"/>
    <d v="1899-12-30T00:03:37"/>
    <n v="32"/>
  </r>
  <r>
    <x v="15"/>
    <s v="Ida Pelander"/>
    <x v="0"/>
    <d v="2015-05-12T00:25:18"/>
    <s v="passed"/>
    <d v="2015-05-12T00:19:00"/>
    <d v="1899-12-30T00:06:18"/>
    <n v="26"/>
  </r>
  <r>
    <x v="15"/>
    <s v="Casper Van den Tempel Sölvin"/>
    <x v="0"/>
    <d v="2015-05-12T00:25:38"/>
    <s v="passed"/>
    <d v="2015-05-12T00:19:00"/>
    <d v="1899-12-30T00:06:38"/>
    <n v="26"/>
  </r>
  <r>
    <x v="15"/>
    <s v="Moa Glanshed"/>
    <x v="2"/>
    <d v="2015-05-12T00:25:39"/>
    <s v="passed"/>
    <d v="2015-05-12T00:19:00"/>
    <d v="1899-12-30T00:06:39"/>
    <n v="26"/>
  </r>
  <r>
    <x v="15"/>
    <s v="Rikard Tapia"/>
    <x v="2"/>
    <d v="2015-05-12T00:26:44"/>
    <s v="passed"/>
    <d v="2015-05-12T00:19:00"/>
    <d v="1899-12-30T00:07:44"/>
    <n v="24"/>
  </r>
  <r>
    <x v="15"/>
    <s v="David Berglund"/>
    <x v="0"/>
    <d v="2015-05-12T00:27:05"/>
    <s v="passed"/>
    <d v="2015-05-12T00:19:00"/>
    <d v="1899-12-30T00:08:05"/>
    <n v="22"/>
  </r>
  <r>
    <x v="15"/>
    <s v="Hampus Glanshed"/>
    <x v="2"/>
    <d v="2015-05-12T00:27:17"/>
    <s v="passed"/>
    <d v="2015-05-12T00:19:00"/>
    <d v="1899-12-30T00:08:17"/>
    <n v="22"/>
  </r>
  <r>
    <x v="15"/>
    <s v="Nikola Sthyr"/>
    <x v="0"/>
    <d v="2015-05-12T00:28:47"/>
    <s v="passed"/>
    <d v="2015-05-12T00:19:00"/>
    <d v="1899-12-30T00:09:47"/>
    <n v="20"/>
  </r>
  <r>
    <x v="15"/>
    <s v="Jonatan Rydén"/>
    <x v="2"/>
    <d v="2015-05-12T00:32:03"/>
    <s v="passed"/>
    <d v="2015-05-12T00:19:00"/>
    <d v="1899-12-30T00:13:03"/>
    <n v="12"/>
  </r>
  <r>
    <x v="15"/>
    <s v="Jonathan Trulsrud"/>
    <x v="2"/>
    <d v="2015-05-12T00:32:37"/>
    <s v="passed"/>
    <d v="2015-05-12T00:19:00"/>
    <d v="1899-12-30T00:13:37"/>
    <n v="12"/>
  </r>
  <r>
    <x v="15"/>
    <s v="Lucas Deboussard"/>
    <x v="3"/>
    <d v="2015-05-12T00:32:50"/>
    <s v="passed"/>
    <d v="2015-05-12T00:19:00"/>
    <d v="1899-12-30T00:13:50"/>
    <n v="12"/>
  </r>
  <r>
    <x v="15"/>
    <s v="Mattias Boräng"/>
    <x v="0"/>
    <d v="2015-05-12T00:34:44"/>
    <s v="passed"/>
    <d v="2015-05-12T00:19:00"/>
    <d v="1899-12-30T00:15:44"/>
    <n v="10"/>
  </r>
  <r>
    <x v="15"/>
    <s v="Madelene Midelf"/>
    <x v="2"/>
    <d v="2015-05-12T00:36:33"/>
    <s v="passed"/>
    <d v="2015-05-12T00:19:00"/>
    <d v="1899-12-30T00:17:33"/>
    <n v="10"/>
  </r>
  <r>
    <x v="15"/>
    <s v="Moa Klingberg"/>
    <x v="0"/>
    <m/>
    <s v="notStarted"/>
    <d v="2015-05-12T00:19:00"/>
    <e v="#N/A"/>
    <n v="0"/>
  </r>
  <r>
    <x v="15"/>
    <s v="Elmin Hovmöller"/>
    <x v="1"/>
    <m/>
    <s v="notStarted"/>
    <d v="2015-05-12T00:19:00"/>
    <e v="#N/A"/>
    <n v="0"/>
  </r>
  <r>
    <x v="15"/>
    <s v="Ville Laurila"/>
    <x v="1"/>
    <m/>
    <s v="notStarted"/>
    <d v="2015-05-12T00:19:00"/>
    <e v="#N/A"/>
    <n v="0"/>
  </r>
  <r>
    <x v="16"/>
    <s v="Oscar Fredholm"/>
    <x v="0"/>
    <d v="2015-05-12T00:40:59"/>
    <s v="passed"/>
    <d v="2015-05-12T00:40:59"/>
    <d v="1899-12-30T00:00:00"/>
    <n v="40"/>
  </r>
  <r>
    <x v="16"/>
    <s v="Ida Wester"/>
    <x v="2"/>
    <d v="2015-05-12T00:55:07"/>
    <s v="passed"/>
    <d v="2015-05-12T00:40:59"/>
    <d v="1899-12-30T00:14:08"/>
    <n v="10"/>
  </r>
  <r>
    <x v="16"/>
    <s v="Teodor Källman"/>
    <x v="2"/>
    <d v="2015-05-12T00:57:30"/>
    <s v="passed"/>
    <d v="2015-05-12T00:40:59"/>
    <d v="1899-12-30T00:16:31"/>
    <n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0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outline="1" outlineData="1" multipleFieldFilters="0" rowHeaderCaption="Klubb">
  <location ref="A4:B8" firstHeaderRow="1" firstDataRow="1" firstDataCol="1"/>
  <pivotFields count="8">
    <pivotField showAll="0"/>
    <pivotField showAll="0"/>
    <pivotField axis="axisRow" showAll="0" sortType="descending">
      <items count="8">
        <item x="2"/>
        <item x="3"/>
        <item m="1" x="5"/>
        <item m="1" x="6"/>
        <item x="0"/>
        <item m="1" x="4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64" showAll="0"/>
    <pivotField showAll="0"/>
    <pivotField dataField="1" showAll="0" sortType="descending"/>
  </pivotFields>
  <rowFields count="1">
    <field x="2"/>
  </rowFields>
  <rowItems count="4">
    <i>
      <x v="4"/>
    </i>
    <i>
      <x/>
    </i>
    <i>
      <x v="1"/>
    </i>
    <i>
      <x v="6"/>
    </i>
  </rowItems>
  <colItems count="1">
    <i/>
  </colItems>
  <dataFields count="1">
    <dataField name="Totalpoäng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2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1:F20" firstHeaderRow="1" firstDataRow="2" firstDataCol="1"/>
  <pivotFields count="8">
    <pivotField axis="axisRow" showAll="0">
      <items count="20">
        <item x="11"/>
        <item x="7"/>
        <item x="9"/>
        <item x="3"/>
        <item x="5"/>
        <item x="0"/>
        <item m="1" x="18"/>
        <item x="12"/>
        <item x="8"/>
        <item x="10"/>
        <item x="4"/>
        <item x="6"/>
        <item x="1"/>
        <item x="2"/>
        <item x="13"/>
        <item x="14"/>
        <item x="15"/>
        <item x="16"/>
        <item m="1" x="17"/>
        <item t="default"/>
      </items>
    </pivotField>
    <pivotField showAll="0"/>
    <pivotField axis="axisCol" showAll="0" sortType="descending">
      <items count="8">
        <item x="2"/>
        <item x="3"/>
        <item m="1" x="4"/>
        <item m="1" x="5"/>
        <item m="1" x="6"/>
        <item x="0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64" showAll="0"/>
    <pivotField showAll="0"/>
    <pivotField dataField="1" showAll="0"/>
  </pivotFields>
  <rowFields count="1">
    <field x="0"/>
  </rowFields>
  <rowItems count="18">
    <i>
      <x/>
    </i>
    <i>
      <x v="1"/>
    </i>
    <i>
      <x v="2"/>
    </i>
    <i>
      <x v="3"/>
    </i>
    <i>
      <x v="4"/>
    </i>
    <i>
      <x v="5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Fields count="1">
    <field x="2"/>
  </colFields>
  <colItems count="5">
    <i>
      <x v="5"/>
    </i>
    <i>
      <x/>
    </i>
    <i>
      <x v="1"/>
    </i>
    <i>
      <x v="6"/>
    </i>
    <i t="grand">
      <x/>
    </i>
  </colItems>
  <dataFields count="1">
    <dataField name="Sum of Poäng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ungdomsserien2013 accounts" connectionId="1" xr16:uid="{00000000-0016-0000-0000-000000000000}" autoFormatId="16" applyNumberFormats="0" applyBorderFormats="0" applyFontFormats="0" applyPatternFormats="0" applyAlignmentFormats="0" applyWidthHeightFormats="0">
  <queryTableRefresh nextId="41" unboundColumnsRight="5">
    <queryTableFields count="10">
      <queryTableField id="9" name="Klass" tableColumnId="9"/>
      <queryTableField id="10" name="Namn" tableColumnId="10"/>
      <queryTableField id="16" name="Klubb" tableColumnId="16"/>
      <queryTableField id="11" name="Tid" tableColumnId="11"/>
      <queryTableField id="12" name="Status" tableColumnId="12"/>
      <queryTableField id="13" dataBound="0" tableColumnId="13"/>
      <queryTableField id="14" dataBound="0" tableColumnId="14"/>
      <queryTableField id="15" dataBound="0" tableColumnId="15"/>
      <queryTableField id="40" dataBound="0" tableColumnId="2"/>
      <queryTableField id="39" dataBound="0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ungdomsserien2013_resultat" displayName="Table_ungdomsserien2013_resultat" ref="A1:J151" tableType="queryTable" totalsRowShown="0">
  <autoFilter ref="A1:J151" xr:uid="{00000000-0009-0000-0100-000001000000}"/>
  <tableColumns count="10">
    <tableColumn id="9" xr3:uid="{00000000-0010-0000-0000-000009000000}" uniqueName="9" name="Klass" queryTableFieldId="9"/>
    <tableColumn id="10" xr3:uid="{00000000-0010-0000-0000-00000A000000}" uniqueName="10" name="Namn" queryTableFieldId="10"/>
    <tableColumn id="16" xr3:uid="{00000000-0010-0000-0000-000010000000}" uniqueName="16" name="Klubb" queryTableFieldId="16"/>
    <tableColumn id="11" xr3:uid="{00000000-0010-0000-0000-00000B000000}" uniqueName="11" name="Tid" queryTableFieldId="11" dataDxfId="5"/>
    <tableColumn id="12" xr3:uid="{00000000-0010-0000-0000-00000C000000}" uniqueName="12" name="Status" queryTableFieldId="12"/>
    <tableColumn id="13" xr3:uid="{00000000-0010-0000-0000-00000D000000}" uniqueName="13" name="Bästa tid" queryTableFieldId="13" dataDxfId="4">
      <calculatedColumnFormula>IF(A2&lt;&gt;A1,Table_ungdomsserien2013_resultat[[#This Row],[Tid]],F1)</calculatedColumnFormula>
    </tableColumn>
    <tableColumn id="14" xr3:uid="{00000000-0010-0000-0000-00000E000000}" uniqueName="14" name="Tid efter" queryTableFieldId="14" dataDxfId="3">
      <calculatedColumnFormula>IF(ISNUMBER(Table_ungdomsserien2013_resultat[[#This Row],[Tid]]),Table_ungdomsserien2013_resultat[[#This Row],[Tid]]-Table_ungdomsserien2013_resultat[[#This Row],[Bästa tid]],NA())</calculatedColumnFormula>
    </tableColumn>
    <tableColumn id="15" xr3:uid="{00000000-0010-0000-0000-00000F000000}" uniqueName="15" name="Poäng" queryTableFieldId="15" dataDxfId="2">
      <calculatedColumnFormula>Poäng(Table_ungdomsserien2013_resultat[[#This Row],[Klass]],Table_ungdomsserien2013_resultat[[#This Row],[Tid]],Table_ungdomsserien2013_resultat[[#This Row],[Status]],Table_ungdomsserien2013_resultat[[#This Row],[Bästa tid]])</calculatedColumnFormula>
    </tableColumn>
    <tableColumn id="2" xr3:uid="{06B27167-6496-48CB-905F-666FD10B54AE}" uniqueName="2" name="S2" queryTableFieldId="40" dataDxfId="1">
      <calculatedColumnFormula array="1">ToStatus(Table_ungdomsserien2013_resultat[[#This Row],[Status]],TEXT(Table_ungdomsserien2013_resultat[[#This Row],[Tid]],"tt:mm:dd"))</calculatedColumnFormula>
    </tableColumn>
    <tableColumn id="1" xr3:uid="{0B6BE6C7-1955-4A2F-9BA0-F0FFE59630E6}" uniqueName="1" name="Column1" queryTableFieldId="39" dataDxfId="0">
      <calculatedColumnFormula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51"/>
  <sheetViews>
    <sheetView workbookViewId="0">
      <pane ySplit="1" topLeftCell="A127" activePane="bottomLeft" state="frozen"/>
      <selection pane="bottomLeft" activeCell="K130" sqref="K130"/>
    </sheetView>
  </sheetViews>
  <sheetFormatPr defaultRowHeight="15" x14ac:dyDescent="0.25"/>
  <cols>
    <col min="1" max="1" width="7.7109375" bestFit="1" customWidth="1"/>
    <col min="2" max="2" width="28.28515625" bestFit="1" customWidth="1"/>
    <col min="3" max="3" width="13.7109375" customWidth="1"/>
    <col min="4" max="4" width="8.140625" bestFit="1" customWidth="1"/>
    <col min="5" max="5" width="10.42578125" bestFit="1" customWidth="1"/>
    <col min="6" max="7" width="10.85546875" bestFit="1" customWidth="1"/>
    <col min="8" max="8" width="8.7109375" bestFit="1" customWidth="1"/>
    <col min="9" max="9" width="28.5703125" customWidth="1"/>
    <col min="10" max="10" width="21.28515625" bestFit="1" customWidth="1"/>
    <col min="11" max="11" width="18.7109375" bestFit="1" customWidth="1"/>
    <col min="12" max="12" width="18.42578125" bestFit="1" customWidth="1"/>
    <col min="13" max="13" width="25.42578125" bestFit="1" customWidth="1"/>
    <col min="14" max="14" width="20.140625" bestFit="1" customWidth="1"/>
    <col min="15" max="15" width="16" bestFit="1" customWidth="1"/>
    <col min="16" max="16" width="14.85546875" bestFit="1" customWidth="1"/>
    <col min="17" max="17" width="25.42578125" bestFit="1" customWidth="1"/>
    <col min="18" max="18" width="20.140625" bestFit="1" customWidth="1"/>
    <col min="19" max="19" width="22.7109375" bestFit="1" customWidth="1"/>
    <col min="20" max="20" width="13.140625" bestFit="1" customWidth="1"/>
    <col min="21" max="21" width="13.85546875" bestFit="1" customWidth="1"/>
    <col min="22" max="22" width="13.42578125" bestFit="1" customWidth="1"/>
    <col min="23" max="23" width="7.28515625" bestFit="1" customWidth="1"/>
    <col min="24" max="24" width="15.5703125" bestFit="1" customWidth="1"/>
    <col min="25" max="25" width="22" bestFit="1" customWidth="1"/>
    <col min="26" max="26" width="15.7109375" bestFit="1" customWidth="1"/>
    <col min="27" max="27" width="13.5703125" bestFit="1" customWidth="1"/>
    <col min="28" max="29" width="10.85546875" bestFit="1" customWidth="1"/>
    <col min="30" max="30" width="8.7109375" bestFit="1" customWidth="1"/>
    <col min="31" max="31" width="12.7109375" bestFit="1" customWidth="1"/>
    <col min="32" max="32" width="24.28515625" bestFit="1" customWidth="1"/>
    <col min="33" max="33" width="17" bestFit="1" customWidth="1"/>
    <col min="34" max="34" width="13.7109375" bestFit="1" customWidth="1"/>
    <col min="35" max="35" width="13.5703125" bestFit="1" customWidth="1"/>
  </cols>
  <sheetData>
    <row r="1" spans="1:10" x14ac:dyDescent="0.25">
      <c r="A1" t="s">
        <v>0</v>
      </c>
      <c r="B1" t="s">
        <v>1</v>
      </c>
      <c r="C1" t="s">
        <v>77</v>
      </c>
      <c r="D1" t="s">
        <v>2</v>
      </c>
      <c r="E1" t="s">
        <v>3</v>
      </c>
      <c r="F1" t="s">
        <v>75</v>
      </c>
      <c r="G1" t="s">
        <v>74</v>
      </c>
      <c r="H1" t="s">
        <v>76</v>
      </c>
      <c r="I1" t="s">
        <v>189</v>
      </c>
      <c r="J1" t="s">
        <v>188</v>
      </c>
    </row>
    <row r="2" spans="1:10" x14ac:dyDescent="0.25">
      <c r="A2" t="s">
        <v>4</v>
      </c>
      <c r="B2" t="s">
        <v>8</v>
      </c>
      <c r="C2" t="s">
        <v>78</v>
      </c>
      <c r="D2" s="1">
        <v>42136.028333333335</v>
      </c>
      <c r="E2" t="s">
        <v>184</v>
      </c>
      <c r="F2" s="2">
        <f>IF(A2&lt;&gt;A1,Table_ungdomsserien2013_resultat[[#This Row],[Tid]],F1)</f>
        <v>42136.028333333335</v>
      </c>
      <c r="G2" s="2">
        <f>IF(ISNUMBER(Table_ungdomsserien2013_resultat[[#This Row],[Tid]]),Table_ungdomsserien2013_resultat[[#This Row],[Tid]]-Table_ungdomsserien2013_resultat[[#This Row],[Bästa tid]],NA())</f>
        <v>0</v>
      </c>
      <c r="H2">
        <f>Poäng(Table_ungdomsserien2013_resultat[[#This Row],[Klass]],Table_ungdomsserien2013_resultat[[#This Row],[Tid]],Table_ungdomsserien2013_resultat[[#This Row],[Status]],Table_ungdomsserien2013_resultat[[#This Row],[Bästa tid]])</f>
        <v>50</v>
      </c>
      <c r="I2" t="str" cm="1">
        <f t="array" ref="I2">ToStatus(Table_ungdomsserien2013_resultat[[#This Row],[Status]],TEXT(Table_ungdomsserien2013_resultat[[#This Row],[Tid]],"tt:mm:dd"))</f>
        <v>ParticipantStatus.Passed</v>
      </c>
      <c r="J2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new("D16", "Vilma Karlsson", "Snättringe SK", T("00:40:12"),ParticipantStatus.Passed),</v>
      </c>
    </row>
    <row r="3" spans="1:10" x14ac:dyDescent="0.25">
      <c r="A3" t="s">
        <v>4</v>
      </c>
      <c r="B3" t="s">
        <v>9</v>
      </c>
      <c r="C3" t="s">
        <v>78</v>
      </c>
      <c r="D3" s="1">
        <v>42136.029270833336</v>
      </c>
      <c r="E3" t="s">
        <v>184</v>
      </c>
      <c r="F3" s="2">
        <f>IF(A3&lt;&gt;A2,Table_ungdomsserien2013_resultat[[#This Row],[Tid]],F2)</f>
        <v>42136.028333333335</v>
      </c>
      <c r="G3" s="2">
        <f>IF(ISNUMBER(Table_ungdomsserien2013_resultat[[#This Row],[Tid]]),Table_ungdomsserien2013_resultat[[#This Row],[Tid]]-Table_ungdomsserien2013_resultat[[#This Row],[Bästa tid]],NA())</f>
        <v>9.3750000087311491E-4</v>
      </c>
      <c r="H3">
        <f>Poäng(Table_ungdomsserien2013_resultat[[#This Row],[Klass]],Table_ungdomsserien2013_resultat[[#This Row],[Tid]],Table_ungdomsserien2013_resultat[[#This Row],[Status]],Table_ungdomsserien2013_resultat[[#This Row],[Bästa tid]])</f>
        <v>46</v>
      </c>
      <c r="I3" t="str" cm="1">
        <f t="array" ref="I3">ToStatus(Table_ungdomsserien2013_resultat[[#This Row],[Status]],TEXT(Table_ungdomsserien2013_resultat[[#This Row],[Tid]],"tt:mm:dd"))</f>
        <v>ParticipantStatus.Passed</v>
      </c>
      <c r="J3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new("D16", "Kristina Tedhamre", "Snättringe SK", T("00:42:12"),ParticipantStatus.Passed),</v>
      </c>
    </row>
    <row r="4" spans="1:10" x14ac:dyDescent="0.25">
      <c r="A4" t="s">
        <v>4</v>
      </c>
      <c r="B4" t="s">
        <v>19</v>
      </c>
      <c r="C4" t="s">
        <v>78</v>
      </c>
      <c r="D4" s="1"/>
      <c r="E4" t="s">
        <v>187</v>
      </c>
      <c r="F4" s="2">
        <f>IF(A4&lt;&gt;A3,Table_ungdomsserien2013_resultat[[#This Row],[Tid]],F3)</f>
        <v>42136.028333333335</v>
      </c>
      <c r="G4" s="2" t="e">
        <f>IF(ISNUMBER(Table_ungdomsserien2013_resultat[[#This Row],[Tid]]),Table_ungdomsserien2013_resultat[[#This Row],[Tid]]-Table_ungdomsserien2013_resultat[[#This Row],[Bästa tid]],NA())</f>
        <v>#N/A</v>
      </c>
      <c r="H4">
        <f>Poäng(Table_ungdomsserien2013_resultat[[#This Row],[Klass]],Table_ungdomsserien2013_resultat[[#This Row],[Tid]],Table_ungdomsserien2013_resultat[[#This Row],[Status]],Table_ungdomsserien2013_resultat[[#This Row],[Bästa tid]])</f>
        <v>0</v>
      </c>
      <c r="I4" t="str" cm="1">
        <f t="array" ref="I4">ToStatus(Table_ungdomsserien2013_resultat[[#This Row],[Status]],TEXT(Table_ungdomsserien2013_resultat[[#This Row],[Tid]],"tt:mm:dd"))</f>
        <v>ParticipantStatus.NotStarted</v>
      </c>
      <c r="J4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new("D16", "Sofia Fureby", "Snättringe SK", T("00:00:00"),ParticipantStatus.NotStarted),</v>
      </c>
    </row>
    <row r="5" spans="1:10" x14ac:dyDescent="0.25">
      <c r="A5" t="s">
        <v>5</v>
      </c>
      <c r="B5" t="s">
        <v>89</v>
      </c>
      <c r="C5" t="s">
        <v>88</v>
      </c>
      <c r="D5" s="1">
        <v>42136.02915509259</v>
      </c>
      <c r="E5" t="s">
        <v>184</v>
      </c>
      <c r="F5" s="2">
        <f>IF(A5&lt;&gt;A4,Table_ungdomsserien2013_resultat[[#This Row],[Tid]],F4)</f>
        <v>42136.02915509259</v>
      </c>
      <c r="G5" s="2">
        <f>IF(ISNUMBER(Table_ungdomsserien2013_resultat[[#This Row],[Tid]]),Table_ungdomsserien2013_resultat[[#This Row],[Tid]]-Table_ungdomsserien2013_resultat[[#This Row],[Bästa tid]],NA())</f>
        <v>0</v>
      </c>
      <c r="H5">
        <f>Poäng(Table_ungdomsserien2013_resultat[[#This Row],[Klass]],Table_ungdomsserien2013_resultat[[#This Row],[Tid]],Table_ungdomsserien2013_resultat[[#This Row],[Status]],Table_ungdomsserien2013_resultat[[#This Row],[Bästa tid]])</f>
        <v>50</v>
      </c>
      <c r="I5" t="str" cm="1">
        <f t="array" ref="I5">ToStatus(Table_ungdomsserien2013_resultat[[#This Row],[Status]],TEXT(Table_ungdomsserien2013_resultat[[#This Row],[Tid]],"tt:mm:dd"))</f>
        <v>ParticipantStatus.Passed</v>
      </c>
      <c r="J5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new("H16", "Fredrik Glännefors", "Söders-Tyresö", T("00:41:12"),ParticipantStatus.Passed),</v>
      </c>
    </row>
    <row r="6" spans="1:10" x14ac:dyDescent="0.25">
      <c r="A6" t="s">
        <v>5</v>
      </c>
      <c r="B6" t="s">
        <v>13</v>
      </c>
      <c r="C6" t="s">
        <v>78</v>
      </c>
      <c r="D6" s="1">
        <v>42136.030289351853</v>
      </c>
      <c r="E6" t="s">
        <v>184</v>
      </c>
      <c r="F6" s="2">
        <f>IF(A6&lt;&gt;A5,Table_ungdomsserien2013_resultat[[#This Row],[Tid]],F5)</f>
        <v>42136.02915509259</v>
      </c>
      <c r="G6" s="2">
        <f>IF(ISNUMBER(Table_ungdomsserien2013_resultat[[#This Row],[Tid]]),Table_ungdomsserien2013_resultat[[#This Row],[Tid]]-Table_ungdomsserien2013_resultat[[#This Row],[Bästa tid]],NA())</f>
        <v>1.1342592624714598E-3</v>
      </c>
      <c r="H6">
        <f>Poäng(Table_ungdomsserien2013_resultat[[#This Row],[Klass]],Table_ungdomsserien2013_resultat[[#This Row],[Tid]],Table_ungdomsserien2013_resultat[[#This Row],[Status]],Table_ungdomsserien2013_resultat[[#This Row],[Bästa tid]])</f>
        <v>46</v>
      </c>
      <c r="I6" t="str" cm="1">
        <f t="array" ref="I6">ToStatus(Table_ungdomsserien2013_resultat[[#This Row],[Status]],TEXT(Table_ungdomsserien2013_resultat[[#This Row],[Tid]],"tt:mm:dd"))</f>
        <v>ParticipantStatus.Passed</v>
      </c>
      <c r="J6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new("H16", "Tobias Karlsson", "Snättringe SK", T("00:43:12"),ParticipantStatus.Passed),</v>
      </c>
    </row>
    <row r="7" spans="1:10" x14ac:dyDescent="0.25">
      <c r="A7" t="s">
        <v>5</v>
      </c>
      <c r="B7" t="s">
        <v>12</v>
      </c>
      <c r="C7" t="s">
        <v>78</v>
      </c>
      <c r="D7" s="1">
        <v>42136.0309375</v>
      </c>
      <c r="E7" t="s">
        <v>184</v>
      </c>
      <c r="F7" s="2">
        <f>IF(A7&lt;&gt;A6,Table_ungdomsserien2013_resultat[[#This Row],[Tid]],F6)</f>
        <v>42136.02915509259</v>
      </c>
      <c r="G7" s="2">
        <f>IF(ISNUMBER(Table_ungdomsserien2013_resultat[[#This Row],[Tid]]),Table_ungdomsserien2013_resultat[[#This Row],[Tid]]-Table_ungdomsserien2013_resultat[[#This Row],[Bästa tid]],NA())</f>
        <v>1.7824074093368836E-3</v>
      </c>
      <c r="H7">
        <f>Poäng(Table_ungdomsserien2013_resultat[[#This Row],[Klass]],Table_ungdomsserien2013_resultat[[#This Row],[Tid]],Table_ungdomsserien2013_resultat[[#This Row],[Status]],Table_ungdomsserien2013_resultat[[#This Row],[Bästa tid]])</f>
        <v>44</v>
      </c>
      <c r="I7" t="str" cm="1">
        <f t="array" ref="I7">ToStatus(Table_ungdomsserien2013_resultat[[#This Row],[Status]],TEXT(Table_ungdomsserien2013_resultat[[#This Row],[Tid]],"tt:mm:dd"))</f>
        <v>ParticipantStatus.Passed</v>
      </c>
      <c r="J7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new("H16", "Ivar Lidström Lauri", "Snättringe SK", T("00:44:12"),ParticipantStatus.Passed),</v>
      </c>
    </row>
    <row r="8" spans="1:10" x14ac:dyDescent="0.25">
      <c r="A8" t="s">
        <v>5</v>
      </c>
      <c r="B8" t="s">
        <v>14</v>
      </c>
      <c r="C8" t="s">
        <v>79</v>
      </c>
      <c r="D8" s="1">
        <v>42136.047777777778</v>
      </c>
      <c r="E8" t="s">
        <v>184</v>
      </c>
      <c r="F8" s="2">
        <f>IF(A8&lt;&gt;A7,Table_ungdomsserien2013_resultat[[#This Row],[Tid]],F7)</f>
        <v>42136.02915509259</v>
      </c>
      <c r="G8" s="2">
        <f>IF(ISNUMBER(Table_ungdomsserien2013_resultat[[#This Row],[Tid]]),Table_ungdomsserien2013_resultat[[#This Row],[Tid]]-Table_ungdomsserien2013_resultat[[#This Row],[Bästa tid]],NA())</f>
        <v>1.8622685187438037E-2</v>
      </c>
      <c r="H8">
        <f>Poäng(Table_ungdomsserien2013_resultat[[#This Row],[Klass]],Table_ungdomsserien2013_resultat[[#This Row],[Tid]],Table_ungdomsserien2013_resultat[[#This Row],[Status]],Table_ungdomsserien2013_resultat[[#This Row],[Bästa tid]])</f>
        <v>15</v>
      </c>
      <c r="I8" t="str" cm="1">
        <f t="array" ref="I8">ToStatus(Table_ungdomsserien2013_resultat[[#This Row],[Status]],TEXT(Table_ungdomsserien2013_resultat[[#This Row],[Tid]],"tt:mm:dd"))</f>
        <v>ParticipantStatus.Passed</v>
      </c>
      <c r="J8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new("H16", "Emil Andersson", "Haninge SOK", T("01:08:12"),ParticipantStatus.Passed),</v>
      </c>
    </row>
    <row r="9" spans="1:10" x14ac:dyDescent="0.25">
      <c r="A9" t="s">
        <v>5</v>
      </c>
      <c r="B9" t="s">
        <v>17</v>
      </c>
      <c r="C9" t="s">
        <v>79</v>
      </c>
      <c r="D9" s="1">
        <v>42136.052245370367</v>
      </c>
      <c r="E9" t="s">
        <v>184</v>
      </c>
      <c r="F9" s="2">
        <f>IF(A9&lt;&gt;A8,Table_ungdomsserien2013_resultat[[#This Row],[Tid]],F8)</f>
        <v>42136.02915509259</v>
      </c>
      <c r="G9" s="2">
        <f>IF(ISNUMBER(Table_ungdomsserien2013_resultat[[#This Row],[Tid]]),Table_ungdomsserien2013_resultat[[#This Row],[Tid]]-Table_ungdomsserien2013_resultat[[#This Row],[Bästa tid]],NA())</f>
        <v>2.3090277776645962E-2</v>
      </c>
      <c r="H9">
        <f>Poäng(Table_ungdomsserien2013_resultat[[#This Row],[Klass]],Table_ungdomsserien2013_resultat[[#This Row],[Tid]],Table_ungdomsserien2013_resultat[[#This Row],[Status]],Table_ungdomsserien2013_resultat[[#This Row],[Bästa tid]])</f>
        <v>15</v>
      </c>
      <c r="I9" t="str" cm="1">
        <f t="array" ref="I9">ToStatus(Table_ungdomsserien2013_resultat[[#This Row],[Status]],TEXT(Table_ungdomsserien2013_resultat[[#This Row],[Tid]],"tt:mm:dd"))</f>
        <v>ParticipantStatus.Passed</v>
      </c>
      <c r="J9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new("H16", "Martin Skärlén", "Haninge SOK", T("01:15:12"),ParticipantStatus.Passed),</v>
      </c>
    </row>
    <row r="10" spans="1:10" x14ac:dyDescent="0.25">
      <c r="A10" t="s">
        <v>5</v>
      </c>
      <c r="B10" t="s">
        <v>86</v>
      </c>
      <c r="C10" t="s">
        <v>78</v>
      </c>
      <c r="D10" s="1"/>
      <c r="E10" t="s">
        <v>187</v>
      </c>
      <c r="F10" s="2">
        <f>IF(A10&lt;&gt;A9,Table_ungdomsserien2013_resultat[[#This Row],[Tid]],F9)</f>
        <v>42136.02915509259</v>
      </c>
      <c r="G10" s="2" t="e">
        <f>IF(ISNUMBER(Table_ungdomsserien2013_resultat[[#This Row],[Tid]]),Table_ungdomsserien2013_resultat[[#This Row],[Tid]]-Table_ungdomsserien2013_resultat[[#This Row],[Bästa tid]],NA())</f>
        <v>#N/A</v>
      </c>
      <c r="H10">
        <f>Poäng(Table_ungdomsserien2013_resultat[[#This Row],[Klass]],Table_ungdomsserien2013_resultat[[#This Row],[Tid]],Table_ungdomsserien2013_resultat[[#This Row],[Status]],Table_ungdomsserien2013_resultat[[#This Row],[Bästa tid]])</f>
        <v>0</v>
      </c>
      <c r="I10" t="str" cm="1">
        <f t="array" ref="I10">ToStatus(Table_ungdomsserien2013_resultat[[#This Row],[Status]],TEXT(Table_ungdomsserien2013_resultat[[#This Row],[Tid]],"tt:mm:dd"))</f>
        <v>ParticipantStatus.NotStarted</v>
      </c>
      <c r="J10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new("H16", "Mattias Kallhauge", "Snättringe SK", T("00:00:00"),ParticipantStatus.NotStarted),</v>
      </c>
    </row>
    <row r="11" spans="1:10" x14ac:dyDescent="0.25">
      <c r="A11" t="s">
        <v>5</v>
      </c>
      <c r="B11" t="s">
        <v>87</v>
      </c>
      <c r="C11" t="s">
        <v>88</v>
      </c>
      <c r="D11" s="1"/>
      <c r="E11" t="s">
        <v>187</v>
      </c>
      <c r="F11" s="2">
        <f>IF(A11&lt;&gt;A10,Table_ungdomsserien2013_resultat[[#This Row],[Tid]],F10)</f>
        <v>42136.02915509259</v>
      </c>
      <c r="G11" s="2" t="e">
        <f>IF(ISNUMBER(Table_ungdomsserien2013_resultat[[#This Row],[Tid]]),Table_ungdomsserien2013_resultat[[#This Row],[Tid]]-Table_ungdomsserien2013_resultat[[#This Row],[Bästa tid]],NA())</f>
        <v>#N/A</v>
      </c>
      <c r="H11">
        <f>Poäng(Table_ungdomsserien2013_resultat[[#This Row],[Klass]],Table_ungdomsserien2013_resultat[[#This Row],[Tid]],Table_ungdomsserien2013_resultat[[#This Row],[Status]],Table_ungdomsserien2013_resultat[[#This Row],[Bästa tid]])</f>
        <v>0</v>
      </c>
      <c r="I11" t="str" cm="1">
        <f t="array" ref="I11">ToStatus(Table_ungdomsserien2013_resultat[[#This Row],[Status]],TEXT(Table_ungdomsserien2013_resultat[[#This Row],[Tid]],"tt:mm:dd"))</f>
        <v>ParticipantStatus.NotStarted</v>
      </c>
      <c r="J11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new("H16", "Eskil Brännerud", "Söders-Tyresö", T("00:00:00"),ParticipantStatus.NotStarted),</v>
      </c>
    </row>
    <row r="12" spans="1:10" x14ac:dyDescent="0.25">
      <c r="A12" t="s">
        <v>5</v>
      </c>
      <c r="B12" t="s">
        <v>11</v>
      </c>
      <c r="C12" t="s">
        <v>78</v>
      </c>
      <c r="D12" s="1"/>
      <c r="E12" t="s">
        <v>187</v>
      </c>
      <c r="F12" s="2">
        <f>IF(A12&lt;&gt;A11,Table_ungdomsserien2013_resultat[[#This Row],[Tid]],F11)</f>
        <v>42136.02915509259</v>
      </c>
      <c r="G12" s="2" t="e">
        <f>IF(ISNUMBER(Table_ungdomsserien2013_resultat[[#This Row],[Tid]]),Table_ungdomsserien2013_resultat[[#This Row],[Tid]]-Table_ungdomsserien2013_resultat[[#This Row],[Bästa tid]],NA())</f>
        <v>#N/A</v>
      </c>
      <c r="H12">
        <f>Poäng(Table_ungdomsserien2013_resultat[[#This Row],[Klass]],Table_ungdomsserien2013_resultat[[#This Row],[Tid]],Table_ungdomsserien2013_resultat[[#This Row],[Status]],Table_ungdomsserien2013_resultat[[#This Row],[Bästa tid]])</f>
        <v>0</v>
      </c>
      <c r="I12" t="str" cm="1">
        <f t="array" ref="I12">ToStatus(Table_ungdomsserien2013_resultat[[#This Row],[Status]],TEXT(Table_ungdomsserien2013_resultat[[#This Row],[Tid]],"tt:mm:dd"))</f>
        <v>ParticipantStatus.NotStarted</v>
      </c>
      <c r="J12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new("H16", "Viking Freij", "Snättringe SK", T("00:00:00"),ParticipantStatus.NotStarted),</v>
      </c>
    </row>
    <row r="13" spans="1:10" x14ac:dyDescent="0.25">
      <c r="A13" t="s">
        <v>5</v>
      </c>
      <c r="B13" t="s">
        <v>15</v>
      </c>
      <c r="C13" t="s">
        <v>79</v>
      </c>
      <c r="D13" s="1"/>
      <c r="E13" t="s">
        <v>187</v>
      </c>
      <c r="F13" s="2">
        <f>IF(A13&lt;&gt;A12,Table_ungdomsserien2013_resultat[[#This Row],[Tid]],F12)</f>
        <v>42136.02915509259</v>
      </c>
      <c r="G13" s="2" t="e">
        <f>IF(ISNUMBER(Table_ungdomsserien2013_resultat[[#This Row],[Tid]]),Table_ungdomsserien2013_resultat[[#This Row],[Tid]]-Table_ungdomsserien2013_resultat[[#This Row],[Bästa tid]],NA())</f>
        <v>#N/A</v>
      </c>
      <c r="H13">
        <f>Poäng(Table_ungdomsserien2013_resultat[[#This Row],[Klass]],Table_ungdomsserien2013_resultat[[#This Row],[Tid]],Table_ungdomsserien2013_resultat[[#This Row],[Status]],Table_ungdomsserien2013_resultat[[#This Row],[Bästa tid]])</f>
        <v>0</v>
      </c>
      <c r="I13" t="str" cm="1">
        <f t="array" ref="I13">ToStatus(Table_ungdomsserien2013_resultat[[#This Row],[Status]],TEXT(Table_ungdomsserien2013_resultat[[#This Row],[Tid]],"tt:mm:dd"))</f>
        <v>ParticipantStatus.NotStarted</v>
      </c>
      <c r="J13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new("H16", "Felix Persson", "Haninge SOK", T("00:00:00"),ParticipantStatus.NotStarted),</v>
      </c>
    </row>
    <row r="14" spans="1:10" x14ac:dyDescent="0.25">
      <c r="A14" t="s">
        <v>6</v>
      </c>
      <c r="B14" t="s">
        <v>16</v>
      </c>
      <c r="C14" t="s">
        <v>78</v>
      </c>
      <c r="D14" s="1">
        <v>42136.035532407404</v>
      </c>
      <c r="E14" t="s">
        <v>184</v>
      </c>
      <c r="F14" s="2">
        <f>IF(A14&lt;&gt;A13,Table_ungdomsserien2013_resultat[[#This Row],[Tid]],F13)</f>
        <v>42136.035532407404</v>
      </c>
      <c r="G14" s="2">
        <f>IF(ISNUMBER(Table_ungdomsserien2013_resultat[[#This Row],[Tid]]),Table_ungdomsserien2013_resultat[[#This Row],[Tid]]-Table_ungdomsserien2013_resultat[[#This Row],[Bästa tid]],NA())</f>
        <v>0</v>
      </c>
      <c r="H14">
        <f>Poäng(Table_ungdomsserien2013_resultat[[#This Row],[Klass]],Table_ungdomsserien2013_resultat[[#This Row],[Tid]],Table_ungdomsserien2013_resultat[[#This Row],[Status]],Table_ungdomsserien2013_resultat[[#This Row],[Bästa tid]])</f>
        <v>50</v>
      </c>
      <c r="I14" t="str" cm="1">
        <f t="array" ref="I14">ToStatus(Table_ungdomsserien2013_resultat[[#This Row],[Status]],TEXT(Table_ungdomsserien2013_resultat[[#This Row],[Tid]],"tt:mm:dd"))</f>
        <v>ParticipantStatus.Passed</v>
      </c>
      <c r="J14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new("H16K", "Gustav Lidmar", "Snättringe SK", T("00:51:12"),ParticipantStatus.Passed),</v>
      </c>
    </row>
    <row r="15" spans="1:10" x14ac:dyDescent="0.25">
      <c r="A15" t="s">
        <v>6</v>
      </c>
      <c r="B15" t="s">
        <v>73</v>
      </c>
      <c r="C15" t="s">
        <v>78</v>
      </c>
      <c r="D15" s="1">
        <v>42136.037094907406</v>
      </c>
      <c r="E15" t="s">
        <v>184</v>
      </c>
      <c r="F15" s="2">
        <f>IF(A15&lt;&gt;A14,Table_ungdomsserien2013_resultat[[#This Row],[Tid]],F14)</f>
        <v>42136.035532407404</v>
      </c>
      <c r="G15" s="2">
        <f>IF(ISNUMBER(Table_ungdomsserien2013_resultat[[#This Row],[Tid]]),Table_ungdomsserien2013_resultat[[#This Row],[Tid]]-Table_ungdomsserien2013_resultat[[#This Row],[Bästa tid]],NA())</f>
        <v>1.5625000014551915E-3</v>
      </c>
      <c r="H15">
        <f>Poäng(Table_ungdomsserien2013_resultat[[#This Row],[Klass]],Table_ungdomsserien2013_resultat[[#This Row],[Tid]],Table_ungdomsserien2013_resultat[[#This Row],[Status]],Table_ungdomsserien2013_resultat[[#This Row],[Bästa tid]])</f>
        <v>44</v>
      </c>
      <c r="I15" t="str" cm="1">
        <f t="array" ref="I15">ToStatus(Table_ungdomsserien2013_resultat[[#This Row],[Status]],TEXT(Table_ungdomsserien2013_resultat[[#This Row],[Tid]],"tt:mm:dd"))</f>
        <v>ParticipantStatus.Passed</v>
      </c>
      <c r="J15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new("H16K", "Albin Rydén", "Snättringe SK", T("00:53:12"),ParticipantStatus.Passed),</v>
      </c>
    </row>
    <row r="16" spans="1:10" x14ac:dyDescent="0.25">
      <c r="A16" t="s">
        <v>6</v>
      </c>
      <c r="B16" t="s">
        <v>90</v>
      </c>
      <c r="C16" t="s">
        <v>79</v>
      </c>
      <c r="D16" s="1">
        <v>42136.049988425926</v>
      </c>
      <c r="E16" t="s">
        <v>184</v>
      </c>
      <c r="F16" s="2">
        <f>IF(A16&lt;&gt;A15,Table_ungdomsserien2013_resultat[[#This Row],[Tid]],F15)</f>
        <v>42136.035532407404</v>
      </c>
      <c r="G16" s="2">
        <f>IF(ISNUMBER(Table_ungdomsserien2013_resultat[[#This Row],[Tid]]),Table_ungdomsserien2013_resultat[[#This Row],[Tid]]-Table_ungdomsserien2013_resultat[[#This Row],[Bästa tid]],NA())</f>
        <v>1.4456018521741498E-2</v>
      </c>
      <c r="H16">
        <f>Poäng(Table_ungdomsserien2013_resultat[[#This Row],[Klass]],Table_ungdomsserien2013_resultat[[#This Row],[Tid]],Table_ungdomsserien2013_resultat[[#This Row],[Status]],Table_ungdomsserien2013_resultat[[#This Row],[Bästa tid]])</f>
        <v>15</v>
      </c>
      <c r="I16" t="str" cm="1">
        <f t="array" ref="I16">ToStatus(Table_ungdomsserien2013_resultat[[#This Row],[Status]],TEXT(Table_ungdomsserien2013_resultat[[#This Row],[Tid]],"tt:mm:dd"))</f>
        <v>ParticipantStatus.Passed</v>
      </c>
      <c r="J16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new("H16K", "Gustav Nirvin", "Haninge SOK", T("01:11:12"),ParticipantStatus.Passed),</v>
      </c>
    </row>
    <row r="17" spans="1:10" x14ac:dyDescent="0.25">
      <c r="A17" t="s">
        <v>6</v>
      </c>
      <c r="B17" t="s">
        <v>91</v>
      </c>
      <c r="C17" t="s">
        <v>79</v>
      </c>
      <c r="D17" s="1">
        <v>42136.051550925928</v>
      </c>
      <c r="E17" t="s">
        <v>184</v>
      </c>
      <c r="F17" s="2">
        <f>IF(A17&lt;&gt;A16,Table_ungdomsserien2013_resultat[[#This Row],[Tid]],F16)</f>
        <v>42136.035532407404</v>
      </c>
      <c r="G17" s="2">
        <f>IF(ISNUMBER(Table_ungdomsserien2013_resultat[[#This Row],[Tid]]),Table_ungdomsserien2013_resultat[[#This Row],[Tid]]-Table_ungdomsserien2013_resultat[[#This Row],[Bästa tid]],NA())</f>
        <v>1.601851852319669E-2</v>
      </c>
      <c r="H17">
        <f>Poäng(Table_ungdomsserien2013_resultat[[#This Row],[Klass]],Table_ungdomsserien2013_resultat[[#This Row],[Tid]],Table_ungdomsserien2013_resultat[[#This Row],[Status]],Table_ungdomsserien2013_resultat[[#This Row],[Bästa tid]])</f>
        <v>15</v>
      </c>
      <c r="I17" t="str" cm="1">
        <f t="array" ref="I17">ToStatus(Table_ungdomsserien2013_resultat[[#This Row],[Status]],TEXT(Table_ungdomsserien2013_resultat[[#This Row],[Tid]],"tt:mm:dd"))</f>
        <v>ParticipantStatus.Passed</v>
      </c>
      <c r="J17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new("H16K", "Kristoffer Rydén", "Haninge SOK", T("01:14:12"),ParticipantStatus.Passed),</v>
      </c>
    </row>
    <row r="18" spans="1:10" x14ac:dyDescent="0.25">
      <c r="A18" t="s">
        <v>7</v>
      </c>
      <c r="B18" t="s">
        <v>22</v>
      </c>
      <c r="C18" t="s">
        <v>79</v>
      </c>
      <c r="D18" s="1">
        <v>42136.027025462965</v>
      </c>
      <c r="E18" t="s">
        <v>184</v>
      </c>
      <c r="F18" s="2">
        <f>IF(A18&lt;&gt;A17,Table_ungdomsserien2013_resultat[[#This Row],[Tid]],F17)</f>
        <v>42136.027025462965</v>
      </c>
      <c r="G18" s="2">
        <f>IF(ISNUMBER(Table_ungdomsserien2013_resultat[[#This Row],[Tid]]),Table_ungdomsserien2013_resultat[[#This Row],[Tid]]-Table_ungdomsserien2013_resultat[[#This Row],[Bästa tid]],NA())</f>
        <v>0</v>
      </c>
      <c r="H18">
        <f>Poäng(Table_ungdomsserien2013_resultat[[#This Row],[Klass]],Table_ungdomsserien2013_resultat[[#This Row],[Tid]],Table_ungdomsserien2013_resultat[[#This Row],[Status]],Table_ungdomsserien2013_resultat[[#This Row],[Bästa tid]])</f>
        <v>50</v>
      </c>
      <c r="I18" t="str" cm="1">
        <f t="array" ref="I18">ToStatus(Table_ungdomsserien2013_resultat[[#This Row],[Status]],TEXT(Table_ungdomsserien2013_resultat[[#This Row],[Tid]],"tt:mm:dd"))</f>
        <v>ParticipantStatus.Passed</v>
      </c>
      <c r="J18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new("D14", "Nina Persson", "Haninge SOK", T("00:38:12"),ParticipantStatus.Passed),</v>
      </c>
    </row>
    <row r="19" spans="1:10" x14ac:dyDescent="0.25">
      <c r="A19" t="s">
        <v>7</v>
      </c>
      <c r="B19" t="s">
        <v>92</v>
      </c>
      <c r="C19" t="s">
        <v>88</v>
      </c>
      <c r="D19" s="1">
        <v>42136.047581018516</v>
      </c>
      <c r="E19" t="s">
        <v>184</v>
      </c>
      <c r="F19" s="2">
        <f>IF(A19&lt;&gt;A18,Table_ungdomsserien2013_resultat[[#This Row],[Tid]],F18)</f>
        <v>42136.027025462965</v>
      </c>
      <c r="G19" s="2">
        <f>IF(ISNUMBER(Table_ungdomsserien2013_resultat[[#This Row],[Tid]]),Table_ungdomsserien2013_resultat[[#This Row],[Tid]]-Table_ungdomsserien2013_resultat[[#This Row],[Bästa tid]],NA())</f>
        <v>2.0555555551254656E-2</v>
      </c>
      <c r="H19">
        <f>Poäng(Table_ungdomsserien2013_resultat[[#This Row],[Klass]],Table_ungdomsserien2013_resultat[[#This Row],[Tid]],Table_ungdomsserien2013_resultat[[#This Row],[Status]],Table_ungdomsserien2013_resultat[[#This Row],[Bästa tid]])</f>
        <v>15</v>
      </c>
      <c r="I19" t="str" cm="1">
        <f t="array" ref="I19">ToStatus(Table_ungdomsserien2013_resultat[[#This Row],[Status]],TEXT(Table_ungdomsserien2013_resultat[[#This Row],[Tid]],"tt:mm:dd"))</f>
        <v>ParticipantStatus.Passed</v>
      </c>
      <c r="J19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new("D14", "Emma Stråhle", "Söders-Tyresö", T("01:08:12"),ParticipantStatus.Passed),</v>
      </c>
    </row>
    <row r="20" spans="1:10" x14ac:dyDescent="0.25">
      <c r="A20" t="s">
        <v>7</v>
      </c>
      <c r="B20" t="s">
        <v>31</v>
      </c>
      <c r="C20" t="s">
        <v>78</v>
      </c>
      <c r="D20" s="1"/>
      <c r="E20" t="s">
        <v>185</v>
      </c>
      <c r="F20" s="2">
        <f>IF(A20&lt;&gt;A19,Table_ungdomsserien2013_resultat[[#This Row],[Tid]],F19)</f>
        <v>42136.027025462965</v>
      </c>
      <c r="G20" s="2" t="e">
        <f>IF(ISNUMBER(Table_ungdomsserien2013_resultat[[#This Row],[Tid]]),Table_ungdomsserien2013_resultat[[#This Row],[Tid]]-Table_ungdomsserien2013_resultat[[#This Row],[Bästa tid]],NA())</f>
        <v>#N/A</v>
      </c>
      <c r="H20">
        <f>Poäng(Table_ungdomsserien2013_resultat[[#This Row],[Klass]],Table_ungdomsserien2013_resultat[[#This Row],[Tid]],Table_ungdomsserien2013_resultat[[#This Row],[Status]],Table_ungdomsserien2013_resultat[[#This Row],[Bästa tid]])</f>
        <v>5</v>
      </c>
      <c r="I20" t="str" cm="1">
        <f t="array" ref="I20">ToStatus(Table_ungdomsserien2013_resultat[[#This Row],[Status]],TEXT(Table_ungdomsserien2013_resultat[[#This Row],[Tid]],"tt:mm:dd"))</f>
        <v>ParticipantStatus.Started</v>
      </c>
      <c r="J20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new("D14", "Ella Karlsson", "Snättringe SK", T("00:00:00"),ParticipantStatus.Started),</v>
      </c>
    </row>
    <row r="21" spans="1:10" x14ac:dyDescent="0.25">
      <c r="A21" t="s">
        <v>10</v>
      </c>
      <c r="B21" t="s">
        <v>94</v>
      </c>
      <c r="C21" t="s">
        <v>79</v>
      </c>
      <c r="D21" s="1">
        <v>42136.029305555552</v>
      </c>
      <c r="E21" t="s">
        <v>184</v>
      </c>
      <c r="F21" s="2">
        <f>IF(A21&lt;&gt;A20,Table_ungdomsserien2013_resultat[[#This Row],[Tid]],F20)</f>
        <v>42136.029305555552</v>
      </c>
      <c r="G21" s="2">
        <f>IF(ISNUMBER(Table_ungdomsserien2013_resultat[[#This Row],[Tid]]),Table_ungdomsserien2013_resultat[[#This Row],[Tid]]-Table_ungdomsserien2013_resultat[[#This Row],[Bästa tid]],NA())</f>
        <v>0</v>
      </c>
      <c r="H21">
        <f>Poäng(Table_ungdomsserien2013_resultat[[#This Row],[Klass]],Table_ungdomsserien2013_resultat[[#This Row],[Tid]],Table_ungdomsserien2013_resultat[[#This Row],[Status]],Table_ungdomsserien2013_resultat[[#This Row],[Bästa tid]])</f>
        <v>50</v>
      </c>
      <c r="I21" t="str" cm="1">
        <f t="array" ref="I21">ToStatus(Table_ungdomsserien2013_resultat[[#This Row],[Status]],TEXT(Table_ungdomsserien2013_resultat[[#This Row],[Tid]],"tt:mm:dd"))</f>
        <v>ParticipantStatus.Passed</v>
      </c>
      <c r="J21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new("H14", "Jakob Nau", "Haninge SOK", T("00:42:12"),ParticipantStatus.Passed),</v>
      </c>
    </row>
    <row r="22" spans="1:10" x14ac:dyDescent="0.25">
      <c r="A22" t="s">
        <v>10</v>
      </c>
      <c r="B22" t="s">
        <v>27</v>
      </c>
      <c r="C22" t="s">
        <v>78</v>
      </c>
      <c r="D22" s="1">
        <v>42136.034131944441</v>
      </c>
      <c r="E22" t="s">
        <v>184</v>
      </c>
      <c r="F22" s="2">
        <f>IF(A22&lt;&gt;A21,Table_ungdomsserien2013_resultat[[#This Row],[Tid]],F21)</f>
        <v>42136.029305555552</v>
      </c>
      <c r="G22" s="2">
        <f>IF(ISNUMBER(Table_ungdomsserien2013_resultat[[#This Row],[Tid]]),Table_ungdomsserien2013_resultat[[#This Row],[Tid]]-Table_ungdomsserien2013_resultat[[#This Row],[Bästa tid]],NA())</f>
        <v>4.8263888893416151E-3</v>
      </c>
      <c r="H22">
        <f>Poäng(Table_ungdomsserien2013_resultat[[#This Row],[Klass]],Table_ungdomsserien2013_resultat[[#This Row],[Tid]],Table_ungdomsserien2013_resultat[[#This Row],[Status]],Table_ungdomsserien2013_resultat[[#This Row],[Bästa tid]])</f>
        <v>36</v>
      </c>
      <c r="I22" t="str" cm="1">
        <f t="array" ref="I22">ToStatus(Table_ungdomsserien2013_resultat[[#This Row],[Status]],TEXT(Table_ungdomsserien2013_resultat[[#This Row],[Tid]],"tt:mm:dd"))</f>
        <v>ParticipantStatus.Passed</v>
      </c>
      <c r="J22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new("H14", "Albin Hainke", "Snättringe SK", T("00:49:12"),ParticipantStatus.Passed),</v>
      </c>
    </row>
    <row r="23" spans="1:10" x14ac:dyDescent="0.25">
      <c r="A23" t="s">
        <v>10</v>
      </c>
      <c r="B23" t="s">
        <v>28</v>
      </c>
      <c r="C23" t="s">
        <v>79</v>
      </c>
      <c r="D23" s="1">
        <v>42136.034826388888</v>
      </c>
      <c r="E23" t="s">
        <v>184</v>
      </c>
      <c r="F23" s="2">
        <f>IF(A23&lt;&gt;A22,Table_ungdomsserien2013_resultat[[#This Row],[Tid]],F22)</f>
        <v>42136.029305555552</v>
      </c>
      <c r="G23" s="2">
        <f>IF(ISNUMBER(Table_ungdomsserien2013_resultat[[#This Row],[Tid]]),Table_ungdomsserien2013_resultat[[#This Row],[Tid]]-Table_ungdomsserien2013_resultat[[#This Row],[Bästa tid]],NA())</f>
        <v>5.5208333360496908E-3</v>
      </c>
      <c r="H23">
        <f>Poäng(Table_ungdomsserien2013_resultat[[#This Row],[Klass]],Table_ungdomsserien2013_resultat[[#This Row],[Tid]],Table_ungdomsserien2013_resultat[[#This Row],[Status]],Table_ungdomsserien2013_resultat[[#This Row],[Bästa tid]])</f>
        <v>34</v>
      </c>
      <c r="I23" t="str" cm="1">
        <f t="array" ref="I23">ToStatus(Table_ungdomsserien2013_resultat[[#This Row],[Status]],TEXT(Table_ungdomsserien2013_resultat[[#This Row],[Tid]],"tt:mm:dd"))</f>
        <v>ParticipantStatus.Passed</v>
      </c>
      <c r="J23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new("H14", "Elias Norrman", "Haninge SOK", T("00:50:12"),ParticipantStatus.Passed),</v>
      </c>
    </row>
    <row r="24" spans="1:10" x14ac:dyDescent="0.25">
      <c r="A24" t="s">
        <v>10</v>
      </c>
      <c r="B24" t="s">
        <v>97</v>
      </c>
      <c r="C24" t="s">
        <v>78</v>
      </c>
      <c r="D24" s="1">
        <v>42136.042233796295</v>
      </c>
      <c r="E24" t="s">
        <v>184</v>
      </c>
      <c r="F24" s="2">
        <f>IF(A24&lt;&gt;A23,Table_ungdomsserien2013_resultat[[#This Row],[Tid]],F23)</f>
        <v>42136.029305555552</v>
      </c>
      <c r="G24" s="2">
        <f>IF(ISNUMBER(Table_ungdomsserien2013_resultat[[#This Row],[Tid]]),Table_ungdomsserien2013_resultat[[#This Row],[Tid]]-Table_ungdomsserien2013_resultat[[#This Row],[Bästa tid]],NA())</f>
        <v>1.2928240743349306E-2</v>
      </c>
      <c r="H24">
        <f>Poäng(Table_ungdomsserien2013_resultat[[#This Row],[Klass]],Table_ungdomsserien2013_resultat[[#This Row],[Tid]],Table_ungdomsserien2013_resultat[[#This Row],[Status]],Table_ungdomsserien2013_resultat[[#This Row],[Bästa tid]])</f>
        <v>15</v>
      </c>
      <c r="I24" t="str" cm="1">
        <f t="array" ref="I24">ToStatus(Table_ungdomsserien2013_resultat[[#This Row],[Status]],TEXT(Table_ungdomsserien2013_resultat[[#This Row],[Tid]],"tt:mm:dd"))</f>
        <v>ParticipantStatus.Passed</v>
      </c>
      <c r="J24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new("H14", "David Bern", "Snättringe SK", T("01:00:12"),ParticipantStatus.Passed),</v>
      </c>
    </row>
    <row r="25" spans="1:10" x14ac:dyDescent="0.25">
      <c r="A25" t="s">
        <v>10</v>
      </c>
      <c r="B25" t="s">
        <v>26</v>
      </c>
      <c r="C25" t="s">
        <v>78</v>
      </c>
      <c r="D25" s="1">
        <v>42136.042303240742</v>
      </c>
      <c r="E25" t="s">
        <v>184</v>
      </c>
      <c r="F25" s="2">
        <f>IF(A25&lt;&gt;A24,Table_ungdomsserien2013_resultat[[#This Row],[Tid]],F24)</f>
        <v>42136.029305555552</v>
      </c>
      <c r="G25" s="2">
        <f>IF(ISNUMBER(Table_ungdomsserien2013_resultat[[#This Row],[Tid]]),Table_ungdomsserien2013_resultat[[#This Row],[Tid]]-Table_ungdomsserien2013_resultat[[#This Row],[Bästa tid]],NA())</f>
        <v>1.2997685189475305E-2</v>
      </c>
      <c r="H25">
        <f>Poäng(Table_ungdomsserien2013_resultat[[#This Row],[Klass]],Table_ungdomsserien2013_resultat[[#This Row],[Tid]],Table_ungdomsserien2013_resultat[[#This Row],[Status]],Table_ungdomsserien2013_resultat[[#This Row],[Bästa tid]])</f>
        <v>15</v>
      </c>
      <c r="I25" t="str" cm="1">
        <f t="array" ref="I25">ToStatus(Table_ungdomsserien2013_resultat[[#This Row],[Status]],TEXT(Table_ungdomsserien2013_resultat[[#This Row],[Tid]],"tt:mm:dd"))</f>
        <v>ParticipantStatus.Passed</v>
      </c>
      <c r="J25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new("H14", "Rasmus Klingberg", "Snättringe SK", T("01:00:12"),ParticipantStatus.Passed),</v>
      </c>
    </row>
    <row r="26" spans="1:10" x14ac:dyDescent="0.25">
      <c r="A26" t="s">
        <v>10</v>
      </c>
      <c r="B26" t="s">
        <v>29</v>
      </c>
      <c r="C26" t="s">
        <v>78</v>
      </c>
      <c r="D26" s="1">
        <v>42136.04315972222</v>
      </c>
      <c r="E26" t="s">
        <v>184</v>
      </c>
      <c r="F26" s="2">
        <f>IF(A26&lt;&gt;A25,Table_ungdomsserien2013_resultat[[#This Row],[Tid]],F25)</f>
        <v>42136.029305555552</v>
      </c>
      <c r="G26" s="2">
        <f>IF(ISNUMBER(Table_ungdomsserien2013_resultat[[#This Row],[Tid]]),Table_ungdomsserien2013_resultat[[#This Row],[Tid]]-Table_ungdomsserien2013_resultat[[#This Row],[Bästa tid]],NA())</f>
        <v>1.3854166667442769E-2</v>
      </c>
      <c r="H26">
        <f>Poäng(Table_ungdomsserien2013_resultat[[#This Row],[Klass]],Table_ungdomsserien2013_resultat[[#This Row],[Tid]],Table_ungdomsserien2013_resultat[[#This Row],[Status]],Table_ungdomsserien2013_resultat[[#This Row],[Bästa tid]])</f>
        <v>15</v>
      </c>
      <c r="I26" t="str" cm="1">
        <f t="array" ref="I26">ToStatus(Table_ungdomsserien2013_resultat[[#This Row],[Status]],TEXT(Table_ungdomsserien2013_resultat[[#This Row],[Tid]],"tt:mm:dd"))</f>
        <v>ParticipantStatus.Passed</v>
      </c>
      <c r="J26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new("H14", "Josef Franzén", "Snättringe SK", T("01:02:12"),ParticipantStatus.Passed),</v>
      </c>
    </row>
    <row r="27" spans="1:10" x14ac:dyDescent="0.25">
      <c r="A27" t="s">
        <v>10</v>
      </c>
      <c r="B27" t="s">
        <v>96</v>
      </c>
      <c r="C27" t="s">
        <v>78</v>
      </c>
      <c r="D27" s="1">
        <v>42136.047372685185</v>
      </c>
      <c r="E27" t="s">
        <v>184</v>
      </c>
      <c r="F27" s="2">
        <f>IF(A27&lt;&gt;A26,Table_ungdomsserien2013_resultat[[#This Row],[Tid]],F26)</f>
        <v>42136.029305555552</v>
      </c>
      <c r="G27" s="2">
        <f>IF(ISNUMBER(Table_ungdomsserien2013_resultat[[#This Row],[Tid]]),Table_ungdomsserien2013_resultat[[#This Row],[Tid]]-Table_ungdomsserien2013_resultat[[#This Row],[Bästa tid]],NA())</f>
        <v>1.806712963298196E-2</v>
      </c>
      <c r="H27">
        <f>Poäng(Table_ungdomsserien2013_resultat[[#This Row],[Klass]],Table_ungdomsserien2013_resultat[[#This Row],[Tid]],Table_ungdomsserien2013_resultat[[#This Row],[Status]],Table_ungdomsserien2013_resultat[[#This Row],[Bästa tid]])</f>
        <v>15</v>
      </c>
      <c r="I27" t="str" cm="1">
        <f t="array" ref="I27">ToStatus(Table_ungdomsserien2013_resultat[[#This Row],[Status]],TEXT(Table_ungdomsserien2013_resultat[[#This Row],[Tid]],"tt:mm:dd"))</f>
        <v>ParticipantStatus.Passed</v>
      </c>
      <c r="J27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new("H14", "John Wolgast", "Snättringe SK", T("01:08:12"),ParticipantStatus.Passed),</v>
      </c>
    </row>
    <row r="28" spans="1:10" x14ac:dyDescent="0.25">
      <c r="A28" t="s">
        <v>10</v>
      </c>
      <c r="B28" t="s">
        <v>35</v>
      </c>
      <c r="C28" t="s">
        <v>78</v>
      </c>
      <c r="D28" s="1">
        <v>42136.069988425923</v>
      </c>
      <c r="E28" t="s">
        <v>184</v>
      </c>
      <c r="F28" s="2">
        <f>IF(A28&lt;&gt;A27,Table_ungdomsserien2013_resultat[[#This Row],[Tid]],F27)</f>
        <v>42136.029305555552</v>
      </c>
      <c r="G28" s="2">
        <f>IF(ISNUMBER(Table_ungdomsserien2013_resultat[[#This Row],[Tid]]),Table_ungdomsserien2013_resultat[[#This Row],[Tid]]-Table_ungdomsserien2013_resultat[[#This Row],[Bästa tid]],NA())</f>
        <v>4.0682870370801538E-2</v>
      </c>
      <c r="H28">
        <f>Poäng(Table_ungdomsserien2013_resultat[[#This Row],[Klass]],Table_ungdomsserien2013_resultat[[#This Row],[Tid]],Table_ungdomsserien2013_resultat[[#This Row],[Status]],Table_ungdomsserien2013_resultat[[#This Row],[Bästa tid]])</f>
        <v>15</v>
      </c>
      <c r="I28" t="str" cm="1">
        <f t="array" ref="I28">ToStatus(Table_ungdomsserien2013_resultat[[#This Row],[Status]],TEXT(Table_ungdomsserien2013_resultat[[#This Row],[Tid]],"tt:mm:dd"))</f>
        <v>ParticipantStatus.Passed</v>
      </c>
      <c r="J28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new("H14", "Jacob Wolgast", "Snättringe SK", T("01:40:12"),ParticipantStatus.Passed),</v>
      </c>
    </row>
    <row r="29" spans="1:10" x14ac:dyDescent="0.25">
      <c r="A29" t="s">
        <v>10</v>
      </c>
      <c r="B29" t="s">
        <v>25</v>
      </c>
      <c r="C29" t="s">
        <v>78</v>
      </c>
      <c r="D29" s="1"/>
      <c r="E29" t="s">
        <v>185</v>
      </c>
      <c r="F29" s="2">
        <f>IF(A29&lt;&gt;A28,Table_ungdomsserien2013_resultat[[#This Row],[Tid]],F28)</f>
        <v>42136.029305555552</v>
      </c>
      <c r="G29" s="2" t="e">
        <f>IF(ISNUMBER(Table_ungdomsserien2013_resultat[[#This Row],[Tid]]),Table_ungdomsserien2013_resultat[[#This Row],[Tid]]-Table_ungdomsserien2013_resultat[[#This Row],[Bästa tid]],NA())</f>
        <v>#N/A</v>
      </c>
      <c r="H29">
        <f>Poäng(Table_ungdomsserien2013_resultat[[#This Row],[Klass]],Table_ungdomsserien2013_resultat[[#This Row],[Tid]],Table_ungdomsserien2013_resultat[[#This Row],[Status]],Table_ungdomsserien2013_resultat[[#This Row],[Bästa tid]])</f>
        <v>5</v>
      </c>
      <c r="I29" t="str" cm="1">
        <f t="array" ref="I29">ToStatus(Table_ungdomsserien2013_resultat[[#This Row],[Status]],TEXT(Table_ungdomsserien2013_resultat[[#This Row],[Tid]],"tt:mm:dd"))</f>
        <v>ParticipantStatus.Started</v>
      </c>
      <c r="J29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new("H14", "Johan Calleberg", "Snättringe SK", T("00:00:00"),ParticipantStatus.Started),</v>
      </c>
    </row>
    <row r="30" spans="1:10" x14ac:dyDescent="0.25">
      <c r="A30" t="s">
        <v>10</v>
      </c>
      <c r="B30" t="s">
        <v>98</v>
      </c>
      <c r="C30" t="s">
        <v>78</v>
      </c>
      <c r="D30" s="1"/>
      <c r="E30" t="s">
        <v>185</v>
      </c>
      <c r="F30" s="2">
        <f>IF(A30&lt;&gt;A29,Table_ungdomsserien2013_resultat[[#This Row],[Tid]],F29)</f>
        <v>42136.029305555552</v>
      </c>
      <c r="G30" s="2" t="e">
        <f>IF(ISNUMBER(Table_ungdomsserien2013_resultat[[#This Row],[Tid]]),Table_ungdomsserien2013_resultat[[#This Row],[Tid]]-Table_ungdomsserien2013_resultat[[#This Row],[Bästa tid]],NA())</f>
        <v>#N/A</v>
      </c>
      <c r="H30">
        <f>Poäng(Table_ungdomsserien2013_resultat[[#This Row],[Klass]],Table_ungdomsserien2013_resultat[[#This Row],[Tid]],Table_ungdomsserien2013_resultat[[#This Row],[Status]],Table_ungdomsserien2013_resultat[[#This Row],[Bästa tid]])</f>
        <v>5</v>
      </c>
      <c r="I30" t="str" cm="1">
        <f t="array" ref="I30">ToStatus(Table_ungdomsserien2013_resultat[[#This Row],[Status]],TEXT(Table_ungdomsserien2013_resultat[[#This Row],[Tid]],"tt:mm:dd"))</f>
        <v>ParticipantStatus.Started</v>
      </c>
      <c r="J30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new("H14", "Erik Lidström Lauri ", "Snättringe SK", T("00:00:00"),ParticipantStatus.Started),</v>
      </c>
    </row>
    <row r="31" spans="1:10" x14ac:dyDescent="0.25">
      <c r="A31" t="s">
        <v>10</v>
      </c>
      <c r="B31" t="s">
        <v>95</v>
      </c>
      <c r="C31" t="s">
        <v>78</v>
      </c>
      <c r="D31" s="1"/>
      <c r="E31" t="s">
        <v>187</v>
      </c>
      <c r="F31" s="2">
        <f>IF(A31&lt;&gt;A30,Table_ungdomsserien2013_resultat[[#This Row],[Tid]],F30)</f>
        <v>42136.029305555552</v>
      </c>
      <c r="G31" s="2" t="e">
        <f>IF(ISNUMBER(Table_ungdomsserien2013_resultat[[#This Row],[Tid]]),Table_ungdomsserien2013_resultat[[#This Row],[Tid]]-Table_ungdomsserien2013_resultat[[#This Row],[Bästa tid]],NA())</f>
        <v>#N/A</v>
      </c>
      <c r="H31">
        <f>Poäng(Table_ungdomsserien2013_resultat[[#This Row],[Klass]],Table_ungdomsserien2013_resultat[[#This Row],[Tid]],Table_ungdomsserien2013_resultat[[#This Row],[Status]],Table_ungdomsserien2013_resultat[[#This Row],[Bästa tid]])</f>
        <v>0</v>
      </c>
      <c r="I31" t="str" cm="1">
        <f t="array" ref="I31">ToStatus(Table_ungdomsserien2013_resultat[[#This Row],[Status]],TEXT(Table_ungdomsserien2013_resultat[[#This Row],[Tid]],"tt:mm:dd"))</f>
        <v>ParticipantStatus.NotStarted</v>
      </c>
      <c r="J31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new("H14", "Jesper Lidmar", "Snättringe SK", T("00:00:00"),ParticipantStatus.NotStarted),</v>
      </c>
    </row>
    <row r="32" spans="1:10" x14ac:dyDescent="0.25">
      <c r="A32" t="s">
        <v>10</v>
      </c>
      <c r="B32" t="s">
        <v>93</v>
      </c>
      <c r="C32" t="s">
        <v>80</v>
      </c>
      <c r="D32" s="1"/>
      <c r="E32" t="s">
        <v>187</v>
      </c>
      <c r="F32" s="2">
        <f>IF(A32&lt;&gt;A31,Table_ungdomsserien2013_resultat[[#This Row],[Tid]],F31)</f>
        <v>42136.029305555552</v>
      </c>
      <c r="G32" s="2" t="e">
        <f>IF(ISNUMBER(Table_ungdomsserien2013_resultat[[#This Row],[Tid]]),Table_ungdomsserien2013_resultat[[#This Row],[Tid]]-Table_ungdomsserien2013_resultat[[#This Row],[Bästa tid]],NA())</f>
        <v>#N/A</v>
      </c>
      <c r="H32">
        <f>Poäng(Table_ungdomsserien2013_resultat[[#This Row],[Klass]],Table_ungdomsserien2013_resultat[[#This Row],[Tid]],Table_ungdomsserien2013_resultat[[#This Row],[Status]],Table_ungdomsserien2013_resultat[[#This Row],[Bästa tid]])</f>
        <v>0</v>
      </c>
      <c r="I32" t="str" cm="1">
        <f t="array" ref="I32">ToStatus(Table_ungdomsserien2013_resultat[[#This Row],[Status]],TEXT(Table_ungdomsserien2013_resultat[[#This Row],[Tid]],"tt:mm:dd"))</f>
        <v>ParticipantStatus.NotStarted</v>
      </c>
      <c r="J32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new("H14", "Erik Norlin", "IFK Enskede", T("00:00:00"),ParticipantStatus.NotStarted),</v>
      </c>
    </row>
    <row r="33" spans="1:10" x14ac:dyDescent="0.25">
      <c r="A33" t="s">
        <v>18</v>
      </c>
      <c r="B33" t="s">
        <v>23</v>
      </c>
      <c r="C33" t="s">
        <v>78</v>
      </c>
      <c r="D33" s="1">
        <v>42136.029710648145</v>
      </c>
      <c r="E33" t="s">
        <v>184</v>
      </c>
      <c r="F33" s="2">
        <f>IF(A33&lt;&gt;A32,Table_ungdomsserien2013_resultat[[#This Row],[Tid]],F32)</f>
        <v>42136.029710648145</v>
      </c>
      <c r="G33" s="2">
        <f>IF(ISNUMBER(Table_ungdomsserien2013_resultat[[#This Row],[Tid]]),Table_ungdomsserien2013_resultat[[#This Row],[Tid]]-Table_ungdomsserien2013_resultat[[#This Row],[Bästa tid]],NA())</f>
        <v>0</v>
      </c>
      <c r="H33">
        <f>Poäng(Table_ungdomsserien2013_resultat[[#This Row],[Klass]],Table_ungdomsserien2013_resultat[[#This Row],[Tid]],Table_ungdomsserien2013_resultat[[#This Row],[Status]],Table_ungdomsserien2013_resultat[[#This Row],[Bästa tid]])</f>
        <v>50</v>
      </c>
      <c r="I33" t="str" cm="1">
        <f t="array" ref="I33">ToStatus(Table_ungdomsserien2013_resultat[[#This Row],[Status]],TEXT(Table_ungdomsserien2013_resultat[[#This Row],[Tid]],"tt:mm:dd"))</f>
        <v>ParticipantStatus.Passed</v>
      </c>
      <c r="J33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new("D14K", "Vanja Pennebrink", "Snättringe SK", T("00:42:12"),ParticipantStatus.Passed),</v>
      </c>
    </row>
    <row r="34" spans="1:10" x14ac:dyDescent="0.25">
      <c r="A34" t="s">
        <v>18</v>
      </c>
      <c r="B34" t="s">
        <v>64</v>
      </c>
      <c r="C34" t="s">
        <v>79</v>
      </c>
      <c r="D34" s="1"/>
      <c r="E34" t="s">
        <v>187</v>
      </c>
      <c r="F34" s="2">
        <f>IF(A34&lt;&gt;A33,Table_ungdomsserien2013_resultat[[#This Row],[Tid]],F33)</f>
        <v>42136.029710648145</v>
      </c>
      <c r="G34" s="2" t="e">
        <f>IF(ISNUMBER(Table_ungdomsserien2013_resultat[[#This Row],[Tid]]),Table_ungdomsserien2013_resultat[[#This Row],[Tid]]-Table_ungdomsserien2013_resultat[[#This Row],[Bästa tid]],NA())</f>
        <v>#N/A</v>
      </c>
      <c r="H34">
        <f>Poäng(Table_ungdomsserien2013_resultat[[#This Row],[Klass]],Table_ungdomsserien2013_resultat[[#This Row],[Tid]],Table_ungdomsserien2013_resultat[[#This Row],[Status]],Table_ungdomsserien2013_resultat[[#This Row],[Bästa tid]])</f>
        <v>0</v>
      </c>
      <c r="I34" t="str" cm="1">
        <f t="array" ref="I34">ToStatus(Table_ungdomsserien2013_resultat[[#This Row],[Status]],TEXT(Table_ungdomsserien2013_resultat[[#This Row],[Tid]],"tt:mm:dd"))</f>
        <v>ParticipantStatus.NotStarted</v>
      </c>
      <c r="J34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new("D14K", "Vendela Borg", "Haninge SOK", T("00:00:00"),ParticipantStatus.NotStarted),</v>
      </c>
    </row>
    <row r="35" spans="1:10" x14ac:dyDescent="0.25">
      <c r="A35" t="s">
        <v>18</v>
      </c>
      <c r="B35" t="s">
        <v>99</v>
      </c>
      <c r="C35" t="s">
        <v>79</v>
      </c>
      <c r="D35" s="1"/>
      <c r="E35" t="s">
        <v>187</v>
      </c>
      <c r="F35" s="2">
        <f>IF(A35&lt;&gt;A34,Table_ungdomsserien2013_resultat[[#This Row],[Tid]],F34)</f>
        <v>42136.029710648145</v>
      </c>
      <c r="G35" s="2" t="e">
        <f>IF(ISNUMBER(Table_ungdomsserien2013_resultat[[#This Row],[Tid]]),Table_ungdomsserien2013_resultat[[#This Row],[Tid]]-Table_ungdomsserien2013_resultat[[#This Row],[Bästa tid]],NA())</f>
        <v>#N/A</v>
      </c>
      <c r="H35">
        <f>Poäng(Table_ungdomsserien2013_resultat[[#This Row],[Klass]],Table_ungdomsserien2013_resultat[[#This Row],[Tid]],Table_ungdomsserien2013_resultat[[#This Row],[Status]],Table_ungdomsserien2013_resultat[[#This Row],[Bästa tid]])</f>
        <v>0</v>
      </c>
      <c r="I35" t="str" cm="1">
        <f t="array" ref="I35">ToStatus(Table_ungdomsserien2013_resultat[[#This Row],[Status]],TEXT(Table_ungdomsserien2013_resultat[[#This Row],[Tid]],"tt:mm:dd"))</f>
        <v>ParticipantStatus.NotStarted</v>
      </c>
      <c r="J35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new("D14K", "Izabella Czechowski", "Haninge SOK", T("00:00:00"),ParticipantStatus.NotStarted),</v>
      </c>
    </row>
    <row r="36" spans="1:10" x14ac:dyDescent="0.25">
      <c r="A36" t="s">
        <v>18</v>
      </c>
      <c r="B36" t="s">
        <v>100</v>
      </c>
      <c r="C36" t="s">
        <v>79</v>
      </c>
      <c r="D36" s="1"/>
      <c r="E36" t="s">
        <v>187</v>
      </c>
      <c r="F36" s="2">
        <f>IF(A36&lt;&gt;A35,Table_ungdomsserien2013_resultat[[#This Row],[Tid]],F35)</f>
        <v>42136.029710648145</v>
      </c>
      <c r="G36" s="2" t="e">
        <f>IF(ISNUMBER(Table_ungdomsserien2013_resultat[[#This Row],[Tid]]),Table_ungdomsserien2013_resultat[[#This Row],[Tid]]-Table_ungdomsserien2013_resultat[[#This Row],[Bästa tid]],NA())</f>
        <v>#N/A</v>
      </c>
      <c r="H36">
        <f>Poäng(Table_ungdomsserien2013_resultat[[#This Row],[Klass]],Table_ungdomsserien2013_resultat[[#This Row],[Tid]],Table_ungdomsserien2013_resultat[[#This Row],[Status]],Table_ungdomsserien2013_resultat[[#This Row],[Bästa tid]])</f>
        <v>0</v>
      </c>
      <c r="I36" t="str" cm="1">
        <f t="array" ref="I36">ToStatus(Table_ungdomsserien2013_resultat[[#This Row],[Status]],TEXT(Table_ungdomsserien2013_resultat[[#This Row],[Tid]],"tt:mm:dd"))</f>
        <v>ParticipantStatus.NotStarted</v>
      </c>
      <c r="J36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new("D14K", "Olivia Hultman", "Haninge SOK", T("00:00:00"),ParticipantStatus.NotStarted),</v>
      </c>
    </row>
    <row r="37" spans="1:10" x14ac:dyDescent="0.25">
      <c r="A37" t="s">
        <v>20</v>
      </c>
      <c r="B37" t="s">
        <v>69</v>
      </c>
      <c r="C37" t="s">
        <v>80</v>
      </c>
      <c r="D37" s="1">
        <v>42136.020196759258</v>
      </c>
      <c r="E37" t="s">
        <v>184</v>
      </c>
      <c r="F37" s="2">
        <f>IF(A37&lt;&gt;A36,Table_ungdomsserien2013_resultat[[#This Row],[Tid]],F36)</f>
        <v>42136.020196759258</v>
      </c>
      <c r="G37" s="2">
        <f>IF(ISNUMBER(Table_ungdomsserien2013_resultat[[#This Row],[Tid]]),Table_ungdomsserien2013_resultat[[#This Row],[Tid]]-Table_ungdomsserien2013_resultat[[#This Row],[Bästa tid]],NA())</f>
        <v>0</v>
      </c>
      <c r="H37">
        <f>Poäng(Table_ungdomsserien2013_resultat[[#This Row],[Klass]],Table_ungdomsserien2013_resultat[[#This Row],[Tid]],Table_ungdomsserien2013_resultat[[#This Row],[Status]],Table_ungdomsserien2013_resultat[[#This Row],[Bästa tid]])</f>
        <v>50</v>
      </c>
      <c r="I37" t="str" cm="1">
        <f t="array" ref="I37">ToStatus(Table_ungdomsserien2013_resultat[[#This Row],[Status]],TEXT(Table_ungdomsserien2013_resultat[[#This Row],[Tid]],"tt:mm:dd"))</f>
        <v>ParticipantStatus.Passed</v>
      </c>
      <c r="J37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new("H14K", "Elias Skott", "IFK Enskede", T("00:29:12"),ParticipantStatus.Passed),</v>
      </c>
    </row>
    <row r="38" spans="1:10" x14ac:dyDescent="0.25">
      <c r="A38" t="s">
        <v>20</v>
      </c>
      <c r="B38" t="s">
        <v>34</v>
      </c>
      <c r="C38" t="s">
        <v>78</v>
      </c>
      <c r="D38" s="1">
        <v>42136.021087962959</v>
      </c>
      <c r="E38" t="s">
        <v>184</v>
      </c>
      <c r="F38" s="2">
        <f>IF(A38&lt;&gt;A37,Table_ungdomsserien2013_resultat[[#This Row],[Tid]],F37)</f>
        <v>42136.020196759258</v>
      </c>
      <c r="G38" s="2">
        <f>IF(ISNUMBER(Table_ungdomsserien2013_resultat[[#This Row],[Tid]]),Table_ungdomsserien2013_resultat[[#This Row],[Tid]]-Table_ungdomsserien2013_resultat[[#This Row],[Bästa tid]],NA())</f>
        <v>8.9120370103046298E-4</v>
      </c>
      <c r="H38">
        <f>Poäng(Table_ungdomsserien2013_resultat[[#This Row],[Klass]],Table_ungdomsserien2013_resultat[[#This Row],[Tid]],Table_ungdomsserien2013_resultat[[#This Row],[Status]],Table_ungdomsserien2013_resultat[[#This Row],[Bästa tid]])</f>
        <v>46</v>
      </c>
      <c r="I38" t="str" cm="1">
        <f t="array" ref="I38">ToStatus(Table_ungdomsserien2013_resultat[[#This Row],[Status]],TEXT(Table_ungdomsserien2013_resultat[[#This Row],[Tid]],"tt:mm:dd"))</f>
        <v>ParticipantStatus.Passed</v>
      </c>
      <c r="J38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new("H14K", "Andreas Boräng", "Snättringe SK", T("00:30:12"),ParticipantStatus.Passed),</v>
      </c>
    </row>
    <row r="39" spans="1:10" x14ac:dyDescent="0.25">
      <c r="A39" t="s">
        <v>20</v>
      </c>
      <c r="B39" t="s">
        <v>103</v>
      </c>
      <c r="C39" t="s">
        <v>80</v>
      </c>
      <c r="D39" s="1">
        <v>42136.02480324074</v>
      </c>
      <c r="E39" t="s">
        <v>184</v>
      </c>
      <c r="F39" s="2">
        <f>IF(A39&lt;&gt;A38,Table_ungdomsserien2013_resultat[[#This Row],[Tid]],F38)</f>
        <v>42136.020196759258</v>
      </c>
      <c r="G39" s="2">
        <f>IF(ISNUMBER(Table_ungdomsserien2013_resultat[[#This Row],[Tid]]),Table_ungdomsserien2013_resultat[[#This Row],[Tid]]-Table_ungdomsserien2013_resultat[[#This Row],[Bästa tid]],NA())</f>
        <v>4.6064814814599231E-3</v>
      </c>
      <c r="H39">
        <f>Poäng(Table_ungdomsserien2013_resultat[[#This Row],[Klass]],Table_ungdomsserien2013_resultat[[#This Row],[Tid]],Table_ungdomsserien2013_resultat[[#This Row],[Status]],Table_ungdomsserien2013_resultat[[#This Row],[Bästa tid]])</f>
        <v>36</v>
      </c>
      <c r="I39" t="str" cm="1">
        <f t="array" ref="I39">ToStatus(Table_ungdomsserien2013_resultat[[#This Row],[Status]],TEXT(Table_ungdomsserien2013_resultat[[#This Row],[Tid]],"tt:mm:dd"))</f>
        <v>ParticipantStatus.Passed</v>
      </c>
      <c r="J39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new("H14K", "Ludde Blom", "IFK Enskede", T("00:35:12"),ParticipantStatus.Passed),</v>
      </c>
    </row>
    <row r="40" spans="1:10" x14ac:dyDescent="0.25">
      <c r="A40" t="s">
        <v>20</v>
      </c>
      <c r="B40" t="s">
        <v>101</v>
      </c>
      <c r="C40" t="s">
        <v>80</v>
      </c>
      <c r="D40" s="1">
        <v>42136.02484953704</v>
      </c>
      <c r="E40" t="s">
        <v>184</v>
      </c>
      <c r="F40" s="2">
        <f>IF(A40&lt;&gt;A39,Table_ungdomsserien2013_resultat[[#This Row],[Tid]],F39)</f>
        <v>42136.020196759258</v>
      </c>
      <c r="G40" s="2">
        <f>IF(ISNUMBER(Table_ungdomsserien2013_resultat[[#This Row],[Tid]]),Table_ungdomsserien2013_resultat[[#This Row],[Tid]]-Table_ungdomsserien2013_resultat[[#This Row],[Bästa tid]],NA())</f>
        <v>4.652777781302575E-3</v>
      </c>
      <c r="H40">
        <f>Poäng(Table_ungdomsserien2013_resultat[[#This Row],[Klass]],Table_ungdomsserien2013_resultat[[#This Row],[Tid]],Table_ungdomsserien2013_resultat[[#This Row],[Status]],Table_ungdomsserien2013_resultat[[#This Row],[Bästa tid]])</f>
        <v>36</v>
      </c>
      <c r="I40" t="str" cm="1">
        <f t="array" ref="I40">ToStatus(Table_ungdomsserien2013_resultat[[#This Row],[Status]],TEXT(Table_ungdomsserien2013_resultat[[#This Row],[Tid]],"tt:mm:dd"))</f>
        <v>ParticipantStatus.Passed</v>
      </c>
      <c r="J40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new("H14K", "Nils Rundström", "IFK Enskede", T("00:35:12"),ParticipantStatus.Passed),</v>
      </c>
    </row>
    <row r="41" spans="1:10" x14ac:dyDescent="0.25">
      <c r="A41" t="s">
        <v>20</v>
      </c>
      <c r="B41" t="s">
        <v>33</v>
      </c>
      <c r="C41" t="s">
        <v>78</v>
      </c>
      <c r="D41" s="1">
        <v>42136.02516203704</v>
      </c>
      <c r="E41" t="s">
        <v>184</v>
      </c>
      <c r="F41" s="2">
        <f>IF(A41&lt;&gt;A40,Table_ungdomsserien2013_resultat[[#This Row],[Tid]],F40)</f>
        <v>42136.020196759258</v>
      </c>
      <c r="G41" s="2">
        <f>IF(ISNUMBER(Table_ungdomsserien2013_resultat[[#This Row],[Tid]]),Table_ungdomsserien2013_resultat[[#This Row],[Tid]]-Table_ungdomsserien2013_resultat[[#This Row],[Bästa tid]],NA())</f>
        <v>4.9652777815936133E-3</v>
      </c>
      <c r="H41">
        <f>Poäng(Table_ungdomsserien2013_resultat[[#This Row],[Klass]],Table_ungdomsserien2013_resultat[[#This Row],[Tid]],Table_ungdomsserien2013_resultat[[#This Row],[Status]],Table_ungdomsserien2013_resultat[[#This Row],[Bästa tid]])</f>
        <v>34</v>
      </c>
      <c r="I41" t="str" cm="1">
        <f t="array" ref="I41">ToStatus(Table_ungdomsserien2013_resultat[[#This Row],[Status]],TEXT(Table_ungdomsserien2013_resultat[[#This Row],[Tid]],"tt:mm:dd"))</f>
        <v>ParticipantStatus.Passed</v>
      </c>
      <c r="J41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new("H14K", "Sebastian Sandblom", "Snättringe SK", T("00:36:12"),ParticipantStatus.Passed),</v>
      </c>
    </row>
    <row r="42" spans="1:10" x14ac:dyDescent="0.25">
      <c r="A42" t="s">
        <v>20</v>
      </c>
      <c r="B42" t="s">
        <v>68</v>
      </c>
      <c r="C42" t="s">
        <v>80</v>
      </c>
      <c r="D42" s="1">
        <v>42136.02952546296</v>
      </c>
      <c r="E42" t="s">
        <v>184</v>
      </c>
      <c r="F42" s="2">
        <f>IF(A42&lt;&gt;A41,Table_ungdomsserien2013_resultat[[#This Row],[Tid]],F41)</f>
        <v>42136.020196759258</v>
      </c>
      <c r="G42" s="2">
        <f>IF(ISNUMBER(Table_ungdomsserien2013_resultat[[#This Row],[Tid]]),Table_ungdomsserien2013_resultat[[#This Row],[Tid]]-Table_ungdomsserien2013_resultat[[#This Row],[Bästa tid]],NA())</f>
        <v>9.3287037016125396E-3</v>
      </c>
      <c r="H42">
        <f>Poäng(Table_ungdomsserien2013_resultat[[#This Row],[Klass]],Table_ungdomsserien2013_resultat[[#This Row],[Tid]],Table_ungdomsserien2013_resultat[[#This Row],[Status]],Table_ungdomsserien2013_resultat[[#This Row],[Bästa tid]])</f>
        <v>22</v>
      </c>
      <c r="I42" t="str" cm="1">
        <f t="array" ref="I42">ToStatus(Table_ungdomsserien2013_resultat[[#This Row],[Status]],TEXT(Table_ungdomsserien2013_resultat[[#This Row],[Tid]],"tt:mm:dd"))</f>
        <v>ParticipantStatus.Passed</v>
      </c>
      <c r="J42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new("H14K", "Pontus Axell", "IFK Enskede", T("00:42:12"),ParticipantStatus.Passed),</v>
      </c>
    </row>
    <row r="43" spans="1:10" x14ac:dyDescent="0.25">
      <c r="A43" t="s">
        <v>20</v>
      </c>
      <c r="B43" t="s">
        <v>67</v>
      </c>
      <c r="C43" t="s">
        <v>80</v>
      </c>
      <c r="D43" s="1">
        <v>42136.051458333335</v>
      </c>
      <c r="E43" t="s">
        <v>184</v>
      </c>
      <c r="F43" s="2">
        <f>IF(A43&lt;&gt;A42,Table_ungdomsserien2013_resultat[[#This Row],[Tid]],F42)</f>
        <v>42136.020196759258</v>
      </c>
      <c r="G43" s="2">
        <f>IF(ISNUMBER(Table_ungdomsserien2013_resultat[[#This Row],[Tid]]),Table_ungdomsserien2013_resultat[[#This Row],[Tid]]-Table_ungdomsserien2013_resultat[[#This Row],[Bästa tid]],NA())</f>
        <v>3.1261574076779652E-2</v>
      </c>
      <c r="H43">
        <f>Poäng(Table_ungdomsserien2013_resultat[[#This Row],[Klass]],Table_ungdomsserien2013_resultat[[#This Row],[Tid]],Table_ungdomsserien2013_resultat[[#This Row],[Status]],Table_ungdomsserien2013_resultat[[#This Row],[Bästa tid]])</f>
        <v>15</v>
      </c>
      <c r="I43" t="str" cm="1">
        <f t="array" ref="I43">ToStatus(Table_ungdomsserien2013_resultat[[#This Row],[Status]],TEXT(Table_ungdomsserien2013_resultat[[#This Row],[Tid]],"tt:mm:dd"))</f>
        <v>ParticipantStatus.Passed</v>
      </c>
      <c r="J43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new("H14K", "Teodor Norberg", "IFK Enskede", T("01:14:12"),ParticipantStatus.Passed),</v>
      </c>
    </row>
    <row r="44" spans="1:10" x14ac:dyDescent="0.25">
      <c r="A44" t="s">
        <v>20</v>
      </c>
      <c r="B44" t="s">
        <v>102</v>
      </c>
      <c r="C44" t="s">
        <v>79</v>
      </c>
      <c r="D44" s="1"/>
      <c r="E44" t="s">
        <v>187</v>
      </c>
      <c r="F44" s="2">
        <f>IF(A44&lt;&gt;A43,Table_ungdomsserien2013_resultat[[#This Row],[Tid]],F43)</f>
        <v>42136.020196759258</v>
      </c>
      <c r="G44" s="2" t="e">
        <f>IF(ISNUMBER(Table_ungdomsserien2013_resultat[[#This Row],[Tid]]),Table_ungdomsserien2013_resultat[[#This Row],[Tid]]-Table_ungdomsserien2013_resultat[[#This Row],[Bästa tid]],NA())</f>
        <v>#N/A</v>
      </c>
      <c r="H44">
        <f>Poäng(Table_ungdomsserien2013_resultat[[#This Row],[Klass]],Table_ungdomsserien2013_resultat[[#This Row],[Tid]],Table_ungdomsserien2013_resultat[[#This Row],[Status]],Table_ungdomsserien2013_resultat[[#This Row],[Bästa tid]])</f>
        <v>0</v>
      </c>
      <c r="I44" t="str" cm="1">
        <f t="array" ref="I44">ToStatus(Table_ungdomsserien2013_resultat[[#This Row],[Status]],TEXT(Table_ungdomsserien2013_resultat[[#This Row],[Tid]],"tt:mm:dd"))</f>
        <v>ParticipantStatus.NotStarted</v>
      </c>
      <c r="J44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new("H14K", "Linus Liljeholm", "Haninge SOK", T("00:00:00"),ParticipantStatus.NotStarted),</v>
      </c>
    </row>
    <row r="45" spans="1:10" x14ac:dyDescent="0.25">
      <c r="A45" t="s">
        <v>21</v>
      </c>
      <c r="B45" t="s">
        <v>105</v>
      </c>
      <c r="C45" t="s">
        <v>88</v>
      </c>
      <c r="D45" s="1">
        <v>42136.021550925929</v>
      </c>
      <c r="E45" t="s">
        <v>184</v>
      </c>
      <c r="F45" s="2">
        <f>IF(A45&lt;&gt;A44,Table_ungdomsserien2013_resultat[[#This Row],[Tid]],F44)</f>
        <v>42136.021550925929</v>
      </c>
      <c r="G45" s="2">
        <f>IF(ISNUMBER(Table_ungdomsserien2013_resultat[[#This Row],[Tid]]),Table_ungdomsserien2013_resultat[[#This Row],[Tid]]-Table_ungdomsserien2013_resultat[[#This Row],[Bästa tid]],NA())</f>
        <v>0</v>
      </c>
      <c r="H45">
        <f>Poäng(Table_ungdomsserien2013_resultat[[#This Row],[Klass]],Table_ungdomsserien2013_resultat[[#This Row],[Tid]],Table_ungdomsserien2013_resultat[[#This Row],[Status]],Table_ungdomsserien2013_resultat[[#This Row],[Bästa tid]])</f>
        <v>50</v>
      </c>
      <c r="I45" t="str" cm="1">
        <f t="array" ref="I45">ToStatus(Table_ungdomsserien2013_resultat[[#This Row],[Status]],TEXT(Table_ungdomsserien2013_resultat[[#This Row],[Tid]],"tt:mm:dd"))</f>
        <v>ParticipantStatus.Passed</v>
      </c>
      <c r="J45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new("D12", "Hedda Röstin", "Söders-Tyresö", T("00:31:12"),ParticipantStatus.Passed),</v>
      </c>
    </row>
    <row r="46" spans="1:10" x14ac:dyDescent="0.25">
      <c r="A46" t="s">
        <v>21</v>
      </c>
      <c r="B46" t="s">
        <v>104</v>
      </c>
      <c r="C46" t="s">
        <v>79</v>
      </c>
      <c r="D46" s="1">
        <v>42136.031817129631</v>
      </c>
      <c r="E46" t="s">
        <v>184</v>
      </c>
      <c r="F46" s="2">
        <f>IF(A46&lt;&gt;A45,Table_ungdomsserien2013_resultat[[#This Row],[Tid]],F45)</f>
        <v>42136.021550925929</v>
      </c>
      <c r="G46" s="2">
        <f>IF(ISNUMBER(Table_ungdomsserien2013_resultat[[#This Row],[Tid]]),Table_ungdomsserien2013_resultat[[#This Row],[Tid]]-Table_ungdomsserien2013_resultat[[#This Row],[Bästa tid]],NA())</f>
        <v>1.0266203702485655E-2</v>
      </c>
      <c r="H46">
        <f>Poäng(Table_ungdomsserien2013_resultat[[#This Row],[Klass]],Table_ungdomsserien2013_resultat[[#This Row],[Tid]],Table_ungdomsserien2013_resultat[[#This Row],[Status]],Table_ungdomsserien2013_resultat[[#This Row],[Bästa tid]])</f>
        <v>20</v>
      </c>
      <c r="I46" t="str" cm="1">
        <f t="array" ref="I46">ToStatus(Table_ungdomsserien2013_resultat[[#This Row],[Status]],TEXT(Table_ungdomsserien2013_resultat[[#This Row],[Tid]],"tt:mm:dd"))</f>
        <v>ParticipantStatus.Passed</v>
      </c>
      <c r="J46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new("D12", "Martina Mäkelä", "Haninge SOK", T("00:45:12"),ParticipantStatus.Passed),</v>
      </c>
    </row>
    <row r="47" spans="1:10" x14ac:dyDescent="0.25">
      <c r="A47" t="s">
        <v>21</v>
      </c>
      <c r="B47" t="s">
        <v>71</v>
      </c>
      <c r="C47" t="s">
        <v>78</v>
      </c>
      <c r="D47" s="1">
        <v>42136.032754629632</v>
      </c>
      <c r="E47" t="s">
        <v>184</v>
      </c>
      <c r="F47" s="2">
        <f>IF(A47&lt;&gt;A46,Table_ungdomsserien2013_resultat[[#This Row],[Tid]],F46)</f>
        <v>42136.021550925929</v>
      </c>
      <c r="G47" s="2">
        <f>IF(ISNUMBER(Table_ungdomsserien2013_resultat[[#This Row],[Tid]]),Table_ungdomsserien2013_resultat[[#This Row],[Tid]]-Table_ungdomsserien2013_resultat[[#This Row],[Bästa tid]],NA())</f>
        <v>1.1203703703358769E-2</v>
      </c>
      <c r="H47">
        <f>Poäng(Table_ungdomsserien2013_resultat[[#This Row],[Klass]],Table_ungdomsserien2013_resultat[[#This Row],[Tid]],Table_ungdomsserien2013_resultat[[#This Row],[Status]],Table_ungdomsserien2013_resultat[[#This Row],[Bästa tid]])</f>
        <v>16</v>
      </c>
      <c r="I47" t="str" cm="1">
        <f t="array" ref="I47">ToStatus(Table_ungdomsserien2013_resultat[[#This Row],[Status]],TEXT(Table_ungdomsserien2013_resultat[[#This Row],[Tid]],"tt:mm:dd"))</f>
        <v>ParticipantStatus.Passed</v>
      </c>
      <c r="J47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new("D12", "Elin Wolgast", "Snättringe SK", T("00:47:12"),ParticipantStatus.Passed),</v>
      </c>
    </row>
    <row r="48" spans="1:10" x14ac:dyDescent="0.25">
      <c r="A48" t="s">
        <v>21</v>
      </c>
      <c r="B48" t="s">
        <v>38</v>
      </c>
      <c r="C48" t="s">
        <v>78</v>
      </c>
      <c r="D48" s="1"/>
      <c r="E48" t="s">
        <v>185</v>
      </c>
      <c r="F48" s="2">
        <f>IF(A48&lt;&gt;A47,Table_ungdomsserien2013_resultat[[#This Row],[Tid]],F47)</f>
        <v>42136.021550925929</v>
      </c>
      <c r="G48" s="2" t="e">
        <f>IF(ISNUMBER(Table_ungdomsserien2013_resultat[[#This Row],[Tid]]),Table_ungdomsserien2013_resultat[[#This Row],[Tid]]-Table_ungdomsserien2013_resultat[[#This Row],[Bästa tid]],NA())</f>
        <v>#N/A</v>
      </c>
      <c r="H48">
        <f>Poäng(Table_ungdomsserien2013_resultat[[#This Row],[Klass]],Table_ungdomsserien2013_resultat[[#This Row],[Tid]],Table_ungdomsserien2013_resultat[[#This Row],[Status]],Table_ungdomsserien2013_resultat[[#This Row],[Bästa tid]])</f>
        <v>5</v>
      </c>
      <c r="I48" t="str" cm="1">
        <f t="array" ref="I48">ToStatus(Table_ungdomsserien2013_resultat[[#This Row],[Status]],TEXT(Table_ungdomsserien2013_resultat[[#This Row],[Tid]],"tt:mm:dd"))</f>
        <v>ParticipantStatus.Started</v>
      </c>
      <c r="J48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new("D12", "Helena Bern", "Snättringe SK", T("00:00:00"),ParticipantStatus.Started),</v>
      </c>
    </row>
    <row r="49" spans="1:10" x14ac:dyDescent="0.25">
      <c r="A49" t="s">
        <v>24</v>
      </c>
      <c r="B49" t="s">
        <v>40</v>
      </c>
      <c r="C49" t="s">
        <v>78</v>
      </c>
      <c r="D49" s="1">
        <v>42136.014826388891</v>
      </c>
      <c r="E49" t="s">
        <v>184</v>
      </c>
      <c r="F49" s="2">
        <f>IF(A49&lt;&gt;A48,Table_ungdomsserien2013_resultat[[#This Row],[Tid]],F48)</f>
        <v>42136.014826388891</v>
      </c>
      <c r="G49" s="2">
        <f>IF(ISNUMBER(Table_ungdomsserien2013_resultat[[#This Row],[Tid]]),Table_ungdomsserien2013_resultat[[#This Row],[Tid]]-Table_ungdomsserien2013_resultat[[#This Row],[Bästa tid]],NA())</f>
        <v>0</v>
      </c>
      <c r="H49">
        <f>Poäng(Table_ungdomsserien2013_resultat[[#This Row],[Klass]],Table_ungdomsserien2013_resultat[[#This Row],[Tid]],Table_ungdomsserien2013_resultat[[#This Row],[Status]],Table_ungdomsserien2013_resultat[[#This Row],[Bästa tid]])</f>
        <v>50</v>
      </c>
      <c r="I49" t="str" cm="1">
        <f t="array" ref="I49">ToStatus(Table_ungdomsserien2013_resultat[[#This Row],[Status]],TEXT(Table_ungdomsserien2013_resultat[[#This Row],[Tid]],"tt:mm:dd"))</f>
        <v>ParticipantStatus.Passed</v>
      </c>
      <c r="J49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new("H12", "Isak Gelius", "Snättringe SK", T("00:21:12"),ParticipantStatus.Passed),</v>
      </c>
    </row>
    <row r="50" spans="1:10" x14ac:dyDescent="0.25">
      <c r="A50" t="s">
        <v>24</v>
      </c>
      <c r="B50" t="s">
        <v>43</v>
      </c>
      <c r="C50" t="s">
        <v>79</v>
      </c>
      <c r="D50" s="1">
        <v>42136.018807870372</v>
      </c>
      <c r="E50" t="s">
        <v>184</v>
      </c>
      <c r="F50" s="2">
        <f>IF(A50&lt;&gt;A49,Table_ungdomsserien2013_resultat[[#This Row],[Tid]],F49)</f>
        <v>42136.014826388891</v>
      </c>
      <c r="G50" s="2">
        <f>IF(ISNUMBER(Table_ungdomsserien2013_resultat[[#This Row],[Tid]]),Table_ungdomsserien2013_resultat[[#This Row],[Tid]]-Table_ungdomsserien2013_resultat[[#This Row],[Bästa tid]],NA())</f>
        <v>3.9814814808778465E-3</v>
      </c>
      <c r="H50">
        <f>Poäng(Table_ungdomsserien2013_resultat[[#This Row],[Klass]],Table_ungdomsserien2013_resultat[[#This Row],[Tid]],Table_ungdomsserien2013_resultat[[#This Row],[Status]],Table_ungdomsserien2013_resultat[[#This Row],[Bästa tid]])</f>
        <v>38</v>
      </c>
      <c r="I50" t="str" cm="1">
        <f t="array" ref="I50">ToStatus(Table_ungdomsserien2013_resultat[[#This Row],[Status]],TEXT(Table_ungdomsserien2013_resultat[[#This Row],[Tid]],"tt:mm:dd"))</f>
        <v>ParticipantStatus.Passed</v>
      </c>
      <c r="J50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new("H12", "Oskar Haglund", "Haninge SOK", T("00:27:12"),ParticipantStatus.Passed),</v>
      </c>
    </row>
    <row r="51" spans="1:10" x14ac:dyDescent="0.25">
      <c r="A51" t="s">
        <v>24</v>
      </c>
      <c r="B51" t="s">
        <v>42</v>
      </c>
      <c r="C51" t="s">
        <v>79</v>
      </c>
      <c r="D51" s="1">
        <v>42136.019652777781</v>
      </c>
      <c r="E51" t="s">
        <v>184</v>
      </c>
      <c r="F51" s="2">
        <f>IF(A51&lt;&gt;A50,Table_ungdomsserien2013_resultat[[#This Row],[Tid]],F50)</f>
        <v>42136.014826388891</v>
      </c>
      <c r="G51" s="2">
        <f>IF(ISNUMBER(Table_ungdomsserien2013_resultat[[#This Row],[Tid]]),Table_ungdomsserien2013_resultat[[#This Row],[Tid]]-Table_ungdomsserien2013_resultat[[#This Row],[Bästa tid]],NA())</f>
        <v>4.8263888893416151E-3</v>
      </c>
      <c r="H51">
        <f>Poäng(Table_ungdomsserien2013_resultat[[#This Row],[Klass]],Table_ungdomsserien2013_resultat[[#This Row],[Tid]],Table_ungdomsserien2013_resultat[[#This Row],[Status]],Table_ungdomsserien2013_resultat[[#This Row],[Bästa tid]])</f>
        <v>36</v>
      </c>
      <c r="I51" t="str" cm="1">
        <f t="array" ref="I51">ToStatus(Table_ungdomsserien2013_resultat[[#This Row],[Status]],TEXT(Table_ungdomsserien2013_resultat[[#This Row],[Tid]],"tt:mm:dd"))</f>
        <v>ParticipantStatus.Passed</v>
      </c>
      <c r="J51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new("H12", "Filip Storell", "Haninge SOK", T("00:28:12"),ParticipantStatus.Passed),</v>
      </c>
    </row>
    <row r="52" spans="1:10" x14ac:dyDescent="0.25">
      <c r="A52" t="s">
        <v>24</v>
      </c>
      <c r="B52" t="s">
        <v>109</v>
      </c>
      <c r="C52" t="s">
        <v>88</v>
      </c>
      <c r="D52" s="1">
        <v>42136.022962962961</v>
      </c>
      <c r="E52" t="s">
        <v>184</v>
      </c>
      <c r="F52" s="2">
        <f>IF(A52&lt;&gt;A51,Table_ungdomsserien2013_resultat[[#This Row],[Tid]],F51)</f>
        <v>42136.014826388891</v>
      </c>
      <c r="G52" s="2">
        <f>IF(ISNUMBER(Table_ungdomsserien2013_resultat[[#This Row],[Tid]]),Table_ungdomsserien2013_resultat[[#This Row],[Tid]]-Table_ungdomsserien2013_resultat[[#This Row],[Bästa tid]],NA())</f>
        <v>8.1365740697947331E-3</v>
      </c>
      <c r="H52">
        <f>Poäng(Table_ungdomsserien2013_resultat[[#This Row],[Klass]],Table_ungdomsserien2013_resultat[[#This Row],[Tid]],Table_ungdomsserien2013_resultat[[#This Row],[Status]],Table_ungdomsserien2013_resultat[[#This Row],[Bästa tid]])</f>
        <v>26</v>
      </c>
      <c r="I52" t="str" cm="1">
        <f t="array" ref="I52">ToStatus(Table_ungdomsserien2013_resultat[[#This Row],[Status]],TEXT(Table_ungdomsserien2013_resultat[[#This Row],[Tid]],"tt:mm:dd"))</f>
        <v>ParticipantStatus.Passed</v>
      </c>
      <c r="J52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new("H12", "Carl-Johan Krook", "Söders-Tyresö", T("00:33:12"),ParticipantStatus.Passed),</v>
      </c>
    </row>
    <row r="53" spans="1:10" x14ac:dyDescent="0.25">
      <c r="A53" t="s">
        <v>24</v>
      </c>
      <c r="B53" t="s">
        <v>106</v>
      </c>
      <c r="C53" t="s">
        <v>88</v>
      </c>
      <c r="D53" s="1">
        <v>42136.023310185185</v>
      </c>
      <c r="E53" t="s">
        <v>184</v>
      </c>
      <c r="F53" s="2">
        <f>IF(A53&lt;&gt;A52,Table_ungdomsserien2013_resultat[[#This Row],[Tid]],F52)</f>
        <v>42136.014826388891</v>
      </c>
      <c r="G53" s="2">
        <f>IF(ISNUMBER(Table_ungdomsserien2013_resultat[[#This Row],[Tid]]),Table_ungdomsserien2013_resultat[[#This Row],[Tid]]-Table_ungdomsserien2013_resultat[[#This Row],[Bästa tid]],NA())</f>
        <v>8.4837962931487709E-3</v>
      </c>
      <c r="H53">
        <f>Poäng(Table_ungdomsserien2013_resultat[[#This Row],[Klass]],Table_ungdomsserien2013_resultat[[#This Row],[Tid]],Table_ungdomsserien2013_resultat[[#This Row],[Status]],Table_ungdomsserien2013_resultat[[#This Row],[Bästa tid]])</f>
        <v>24</v>
      </c>
      <c r="I53" t="str" cm="1">
        <f t="array" ref="I53">ToStatus(Table_ungdomsserien2013_resultat[[#This Row],[Status]],TEXT(Table_ungdomsserien2013_resultat[[#This Row],[Tid]],"tt:mm:dd"))</f>
        <v>ParticipantStatus.Passed</v>
      </c>
      <c r="J53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new("H12", "Lucas Chavda", "Söders-Tyresö", T("00:33:12"),ParticipantStatus.Passed),</v>
      </c>
    </row>
    <row r="54" spans="1:10" x14ac:dyDescent="0.25">
      <c r="A54" t="s">
        <v>24</v>
      </c>
      <c r="B54" t="s">
        <v>70</v>
      </c>
      <c r="C54" t="s">
        <v>78</v>
      </c>
      <c r="D54" s="1">
        <v>42136.024236111109</v>
      </c>
      <c r="E54" t="s">
        <v>184</v>
      </c>
      <c r="F54" s="2">
        <f>IF(A54&lt;&gt;A53,Table_ungdomsserien2013_resultat[[#This Row],[Tid]],F53)</f>
        <v>42136.014826388891</v>
      </c>
      <c r="G54" s="2">
        <f>IF(ISNUMBER(Table_ungdomsserien2013_resultat[[#This Row],[Tid]]),Table_ungdomsserien2013_resultat[[#This Row],[Tid]]-Table_ungdomsserien2013_resultat[[#This Row],[Bästa tid]],NA())</f>
        <v>9.4097222172422335E-3</v>
      </c>
      <c r="H54">
        <f>Poäng(Table_ungdomsserien2013_resultat[[#This Row],[Klass]],Table_ungdomsserien2013_resultat[[#This Row],[Tid]],Table_ungdomsserien2013_resultat[[#This Row],[Status]],Table_ungdomsserien2013_resultat[[#This Row],[Bästa tid]])</f>
        <v>22</v>
      </c>
      <c r="I54" t="str" cm="1">
        <f t="array" ref="I54">ToStatus(Table_ungdomsserien2013_resultat[[#This Row],[Status]],TEXT(Table_ungdomsserien2013_resultat[[#This Row],[Tid]],"tt:mm:dd"))</f>
        <v>ParticipantStatus.Passed</v>
      </c>
      <c r="J54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new("H12", "Oskar Ekner", "Snättringe SK", T("00:34:12"),ParticipantStatus.Passed),</v>
      </c>
    </row>
    <row r="55" spans="1:10" x14ac:dyDescent="0.25">
      <c r="A55" t="s">
        <v>24</v>
      </c>
      <c r="B55" t="s">
        <v>108</v>
      </c>
      <c r="C55" t="s">
        <v>88</v>
      </c>
      <c r="D55" s="1">
        <v>42136.02516203704</v>
      </c>
      <c r="E55" t="s">
        <v>184</v>
      </c>
      <c r="F55" s="2">
        <f>IF(A55&lt;&gt;A54,Table_ungdomsserien2013_resultat[[#This Row],[Tid]],F54)</f>
        <v>42136.014826388891</v>
      </c>
      <c r="G55" s="2">
        <f>IF(ISNUMBER(Table_ungdomsserien2013_resultat[[#This Row],[Tid]]),Table_ungdomsserien2013_resultat[[#This Row],[Tid]]-Table_ungdomsserien2013_resultat[[#This Row],[Bästa tid]],NA())</f>
        <v>1.0335648148611654E-2</v>
      </c>
      <c r="H55">
        <f>Poäng(Table_ungdomsserien2013_resultat[[#This Row],[Klass]],Table_ungdomsserien2013_resultat[[#This Row],[Tid]],Table_ungdomsserien2013_resultat[[#This Row],[Status]],Table_ungdomsserien2013_resultat[[#This Row],[Bästa tid]])</f>
        <v>20</v>
      </c>
      <c r="I55" t="str" cm="1">
        <f t="array" ref="I55">ToStatus(Table_ungdomsserien2013_resultat[[#This Row],[Status]],TEXT(Table_ungdomsserien2013_resultat[[#This Row],[Tid]],"tt:mm:dd"))</f>
        <v>ParticipantStatus.Passed</v>
      </c>
      <c r="J55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new("H12", "Olle Thimberg", "Söders-Tyresö", T("00:36:12"),ParticipantStatus.Passed),</v>
      </c>
    </row>
    <row r="56" spans="1:10" x14ac:dyDescent="0.25">
      <c r="A56" t="s">
        <v>24</v>
      </c>
      <c r="B56" t="s">
        <v>113</v>
      </c>
      <c r="C56" t="s">
        <v>80</v>
      </c>
      <c r="D56" s="1">
        <v>42136.025625000002</v>
      </c>
      <c r="E56" t="s">
        <v>184</v>
      </c>
      <c r="F56" s="2">
        <f>IF(A56&lt;&gt;A55,Table_ungdomsserien2013_resultat[[#This Row],[Tid]],F55)</f>
        <v>42136.014826388891</v>
      </c>
      <c r="G56" s="2">
        <f>IF(ISNUMBER(Table_ungdomsserien2013_resultat[[#This Row],[Tid]]),Table_ungdomsserien2013_resultat[[#This Row],[Tid]]-Table_ungdomsserien2013_resultat[[#This Row],[Bästa tid]],NA())</f>
        <v>1.0798611110658385E-2</v>
      </c>
      <c r="H56">
        <f>Poäng(Table_ungdomsserien2013_resultat[[#This Row],[Klass]],Table_ungdomsserien2013_resultat[[#This Row],[Tid]],Table_ungdomsserien2013_resultat[[#This Row],[Status]],Table_ungdomsserien2013_resultat[[#This Row],[Bästa tid]])</f>
        <v>18</v>
      </c>
      <c r="I56" t="str" cm="1">
        <f t="array" ref="I56">ToStatus(Table_ungdomsserien2013_resultat[[#This Row],[Status]],TEXT(Table_ungdomsserien2013_resultat[[#This Row],[Tid]],"tt:mm:dd"))</f>
        <v>ParticipantStatus.Passed</v>
      </c>
      <c r="J56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new("H12", "Elis Rundström", "IFK Enskede", T("00:36:12"),ParticipantStatus.Passed),</v>
      </c>
    </row>
    <row r="57" spans="1:10" x14ac:dyDescent="0.25">
      <c r="A57" t="s">
        <v>24</v>
      </c>
      <c r="B57" t="s">
        <v>66</v>
      </c>
      <c r="C57" t="s">
        <v>78</v>
      </c>
      <c r="D57" s="1">
        <v>42136.025995370372</v>
      </c>
      <c r="E57" t="s">
        <v>184</v>
      </c>
      <c r="F57" s="2">
        <f>IF(A57&lt;&gt;A56,Table_ungdomsserien2013_resultat[[#This Row],[Tid]],F56)</f>
        <v>42136.014826388891</v>
      </c>
      <c r="G57" s="2">
        <f>IF(ISNUMBER(Table_ungdomsserien2013_resultat[[#This Row],[Tid]]),Table_ungdomsserien2013_resultat[[#This Row],[Tid]]-Table_ungdomsserien2013_resultat[[#This Row],[Bästa tid]],NA())</f>
        <v>1.116898148029577E-2</v>
      </c>
      <c r="H57">
        <f>Poäng(Table_ungdomsserien2013_resultat[[#This Row],[Klass]],Table_ungdomsserien2013_resultat[[#This Row],[Tid]],Table_ungdomsserien2013_resultat[[#This Row],[Status]],Table_ungdomsserien2013_resultat[[#This Row],[Bästa tid]])</f>
        <v>16</v>
      </c>
      <c r="I57" t="str" cm="1">
        <f t="array" ref="I57">ToStatus(Table_ungdomsserien2013_resultat[[#This Row],[Status]],TEXT(Table_ungdomsserien2013_resultat[[#This Row],[Tid]],"tt:mm:dd"))</f>
        <v>ParticipantStatus.Passed</v>
      </c>
      <c r="J57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new("H12", "Jacob Kennerhed", "Snättringe SK", T("00:37:12"),ParticipantStatus.Passed),</v>
      </c>
    </row>
    <row r="58" spans="1:10" x14ac:dyDescent="0.25">
      <c r="A58" t="s">
        <v>24</v>
      </c>
      <c r="B58" t="s">
        <v>110</v>
      </c>
      <c r="C58" t="s">
        <v>88</v>
      </c>
      <c r="D58" s="1">
        <v>42136.03162037037</v>
      </c>
      <c r="E58" t="s">
        <v>184</v>
      </c>
      <c r="F58" s="2">
        <f>IF(A58&lt;&gt;A57,Table_ungdomsserien2013_resultat[[#This Row],[Tid]],F57)</f>
        <v>42136.014826388891</v>
      </c>
      <c r="G58" s="2">
        <f>IF(ISNUMBER(Table_ungdomsserien2013_resultat[[#This Row],[Tid]]),Table_ungdomsserien2013_resultat[[#This Row],[Tid]]-Table_ungdomsserien2013_resultat[[#This Row],[Bästa tid]],NA())</f>
        <v>1.6793981478258502E-2</v>
      </c>
      <c r="H58">
        <f>Poäng(Table_ungdomsserien2013_resultat[[#This Row],[Klass]],Table_ungdomsserien2013_resultat[[#This Row],[Tid]],Table_ungdomsserien2013_resultat[[#This Row],[Status]],Table_ungdomsserien2013_resultat[[#This Row],[Bästa tid]])</f>
        <v>15</v>
      </c>
      <c r="I58" t="str" cm="1">
        <f t="array" ref="I58">ToStatus(Table_ungdomsserien2013_resultat[[#This Row],[Status]],TEXT(Table_ungdomsserien2013_resultat[[#This Row],[Tid]],"tt:mm:dd"))</f>
        <v>ParticipantStatus.Passed</v>
      </c>
      <c r="J58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new("H12", "Mattias Hedin", "Söders-Tyresö", T("00:45:12"),ParticipantStatus.Passed),</v>
      </c>
    </row>
    <row r="59" spans="1:10" x14ac:dyDescent="0.25">
      <c r="A59" t="s">
        <v>24</v>
      </c>
      <c r="B59" t="s">
        <v>107</v>
      </c>
      <c r="C59" t="s">
        <v>88</v>
      </c>
      <c r="D59" s="1">
        <v>42136.031643518516</v>
      </c>
      <c r="E59" t="s">
        <v>184</v>
      </c>
      <c r="F59" s="2">
        <f>IF(A59&lt;&gt;A58,Table_ungdomsserien2013_resultat[[#This Row],[Tid]],F58)</f>
        <v>42136.014826388891</v>
      </c>
      <c r="G59" s="2">
        <f>IF(ISNUMBER(Table_ungdomsserien2013_resultat[[#This Row],[Tid]]),Table_ungdomsserien2013_resultat[[#This Row],[Tid]]-Table_ungdomsserien2013_resultat[[#This Row],[Bästa tid]],NA())</f>
        <v>1.6817129624541849E-2</v>
      </c>
      <c r="H59">
        <f>Poäng(Table_ungdomsserien2013_resultat[[#This Row],[Klass]],Table_ungdomsserien2013_resultat[[#This Row],[Tid]],Table_ungdomsserien2013_resultat[[#This Row],[Status]],Table_ungdomsserien2013_resultat[[#This Row],[Bästa tid]])</f>
        <v>15</v>
      </c>
      <c r="I59" t="str" cm="1">
        <f t="array" ref="I59">ToStatus(Table_ungdomsserien2013_resultat[[#This Row],[Status]],TEXT(Table_ungdomsserien2013_resultat[[#This Row],[Tid]],"tt:mm:dd"))</f>
        <v>ParticipantStatus.Passed</v>
      </c>
      <c r="J59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new("H12", "Ivo Clarhäll", "Söders-Tyresö", T("00:45:12"),ParticipantStatus.Passed),</v>
      </c>
    </row>
    <row r="60" spans="1:10" x14ac:dyDescent="0.25">
      <c r="A60" t="s">
        <v>24</v>
      </c>
      <c r="B60" t="s">
        <v>112</v>
      </c>
      <c r="C60" t="s">
        <v>78</v>
      </c>
      <c r="D60" s="1">
        <v>42136.035381944443</v>
      </c>
      <c r="E60" t="s">
        <v>184</v>
      </c>
      <c r="F60" s="2">
        <f>IF(A60&lt;&gt;A59,Table_ungdomsserien2013_resultat[[#This Row],[Tid]],F59)</f>
        <v>42136.014826388891</v>
      </c>
      <c r="G60" s="2">
        <f>IF(ISNUMBER(Table_ungdomsserien2013_resultat[[#This Row],[Tid]]),Table_ungdomsserien2013_resultat[[#This Row],[Tid]]-Table_ungdomsserien2013_resultat[[#This Row],[Bästa tid]],NA())</f>
        <v>2.0555555551254656E-2</v>
      </c>
      <c r="H60">
        <f>Poäng(Table_ungdomsserien2013_resultat[[#This Row],[Klass]],Table_ungdomsserien2013_resultat[[#This Row],[Tid]],Table_ungdomsserien2013_resultat[[#This Row],[Status]],Table_ungdomsserien2013_resultat[[#This Row],[Bästa tid]])</f>
        <v>15</v>
      </c>
      <c r="I60" t="str" cm="1">
        <f t="array" ref="I60">ToStatus(Table_ungdomsserien2013_resultat[[#This Row],[Status]],TEXT(Table_ungdomsserien2013_resultat[[#This Row],[Tid]],"tt:mm:dd"))</f>
        <v>ParticipantStatus.Passed</v>
      </c>
      <c r="J60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new("H12", "Albert Nord", "Snättringe SK", T("00:50:12"),ParticipantStatus.Passed),</v>
      </c>
    </row>
    <row r="61" spans="1:10" x14ac:dyDescent="0.25">
      <c r="A61" t="s">
        <v>24</v>
      </c>
      <c r="B61" t="s">
        <v>114</v>
      </c>
      <c r="C61" t="s">
        <v>78</v>
      </c>
      <c r="D61" s="1">
        <v>42136.039363425924</v>
      </c>
      <c r="E61" t="s">
        <v>184</v>
      </c>
      <c r="F61" s="2">
        <f>IF(A61&lt;&gt;A60,Table_ungdomsserien2013_resultat[[#This Row],[Tid]],F60)</f>
        <v>42136.014826388891</v>
      </c>
      <c r="G61" s="2">
        <f>IF(ISNUMBER(Table_ungdomsserien2013_resultat[[#This Row],[Tid]]),Table_ungdomsserien2013_resultat[[#This Row],[Tid]]-Table_ungdomsserien2013_resultat[[#This Row],[Bästa tid]],NA())</f>
        <v>2.4537037032132503E-2</v>
      </c>
      <c r="H61">
        <f>Poäng(Table_ungdomsserien2013_resultat[[#This Row],[Klass]],Table_ungdomsserien2013_resultat[[#This Row],[Tid]],Table_ungdomsserien2013_resultat[[#This Row],[Status]],Table_ungdomsserien2013_resultat[[#This Row],[Bästa tid]])</f>
        <v>15</v>
      </c>
      <c r="I61" t="str" cm="1">
        <f t="array" ref="I61">ToStatus(Table_ungdomsserien2013_resultat[[#This Row],[Status]],TEXT(Table_ungdomsserien2013_resultat[[#This Row],[Tid]],"tt:mm:dd"))</f>
        <v>ParticipantStatus.Passed</v>
      </c>
      <c r="J61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new("H12", "Antoni Kowalik", "Snättringe SK", T("00:56:12"),ParticipantStatus.Passed),</v>
      </c>
    </row>
    <row r="62" spans="1:10" x14ac:dyDescent="0.25">
      <c r="A62" t="s">
        <v>24</v>
      </c>
      <c r="B62" t="s">
        <v>62</v>
      </c>
      <c r="C62" t="s">
        <v>78</v>
      </c>
      <c r="D62" s="1">
        <v>42136.039803240739</v>
      </c>
      <c r="E62" t="s">
        <v>184</v>
      </c>
      <c r="F62" s="2">
        <f>IF(A62&lt;&gt;A61,Table_ungdomsserien2013_resultat[[#This Row],[Tid]],F61)</f>
        <v>42136.014826388891</v>
      </c>
      <c r="G62" s="2">
        <f>IF(ISNUMBER(Table_ungdomsserien2013_resultat[[#This Row],[Tid]]),Table_ungdomsserien2013_resultat[[#This Row],[Tid]]-Table_ungdomsserien2013_resultat[[#This Row],[Bästa tid]],NA())</f>
        <v>2.4976851847895887E-2</v>
      </c>
      <c r="H62">
        <f>Poäng(Table_ungdomsserien2013_resultat[[#This Row],[Klass]],Table_ungdomsserien2013_resultat[[#This Row],[Tid]],Table_ungdomsserien2013_resultat[[#This Row],[Status]],Table_ungdomsserien2013_resultat[[#This Row],[Bästa tid]])</f>
        <v>15</v>
      </c>
      <c r="I62" t="str" cm="1">
        <f t="array" ref="I62">ToStatus(Table_ungdomsserien2013_resultat[[#This Row],[Status]],TEXT(Table_ungdomsserien2013_resultat[[#This Row],[Tid]],"tt:mm:dd"))</f>
        <v>ParticipantStatus.Passed</v>
      </c>
      <c r="J62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new("H12", "David Törnqvist", "Snättringe SK", T("00:57:12"),ParticipantStatus.Passed),</v>
      </c>
    </row>
    <row r="63" spans="1:10" x14ac:dyDescent="0.25">
      <c r="A63" t="s">
        <v>24</v>
      </c>
      <c r="B63" t="s">
        <v>41</v>
      </c>
      <c r="C63" t="s">
        <v>78</v>
      </c>
      <c r="D63" s="1"/>
      <c r="E63" t="s">
        <v>185</v>
      </c>
      <c r="F63" s="2">
        <f>IF(A63&lt;&gt;A62,Table_ungdomsserien2013_resultat[[#This Row],[Tid]],F62)</f>
        <v>42136.014826388891</v>
      </c>
      <c r="G63" s="2" t="e">
        <f>IF(ISNUMBER(Table_ungdomsserien2013_resultat[[#This Row],[Tid]]),Table_ungdomsserien2013_resultat[[#This Row],[Tid]]-Table_ungdomsserien2013_resultat[[#This Row],[Bästa tid]],NA())</f>
        <v>#N/A</v>
      </c>
      <c r="H63">
        <f>Poäng(Table_ungdomsserien2013_resultat[[#This Row],[Klass]],Table_ungdomsserien2013_resultat[[#This Row],[Tid]],Table_ungdomsserien2013_resultat[[#This Row],[Status]],Table_ungdomsserien2013_resultat[[#This Row],[Bästa tid]])</f>
        <v>5</v>
      </c>
      <c r="I63" t="str" cm="1">
        <f t="array" ref="I63">ToStatus(Table_ungdomsserien2013_resultat[[#This Row],[Status]],TEXT(Table_ungdomsserien2013_resultat[[#This Row],[Tid]],"tt:mm:dd"))</f>
        <v>ParticipantStatus.Started</v>
      </c>
      <c r="J63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new("H12", "Jakob Tedhamre", "Snättringe SK", T("00:00:00"),ParticipantStatus.Started),</v>
      </c>
    </row>
    <row r="64" spans="1:10" x14ac:dyDescent="0.25">
      <c r="A64" t="s">
        <v>24</v>
      </c>
      <c r="B64" t="s">
        <v>111</v>
      </c>
      <c r="C64" t="s">
        <v>78</v>
      </c>
      <c r="D64" s="1"/>
      <c r="E64" t="s">
        <v>187</v>
      </c>
      <c r="F64" s="2">
        <f>IF(A64&lt;&gt;A63,Table_ungdomsserien2013_resultat[[#This Row],[Tid]],F63)</f>
        <v>42136.014826388891</v>
      </c>
      <c r="G64" s="2" t="e">
        <f>IF(ISNUMBER(Table_ungdomsserien2013_resultat[[#This Row],[Tid]]),Table_ungdomsserien2013_resultat[[#This Row],[Tid]]-Table_ungdomsserien2013_resultat[[#This Row],[Bästa tid]],NA())</f>
        <v>#N/A</v>
      </c>
      <c r="H64">
        <f>Poäng(Table_ungdomsserien2013_resultat[[#This Row],[Klass]],Table_ungdomsserien2013_resultat[[#This Row],[Tid]],Table_ungdomsserien2013_resultat[[#This Row],[Status]],Table_ungdomsserien2013_resultat[[#This Row],[Bästa tid]])</f>
        <v>0</v>
      </c>
      <c r="I64" t="str" cm="1">
        <f t="array" ref="I64">ToStatus(Table_ungdomsserien2013_resultat[[#This Row],[Status]],TEXT(Table_ungdomsserien2013_resultat[[#This Row],[Tid]],"tt:mm:dd"))</f>
        <v>ParticipantStatus.NotStarted</v>
      </c>
      <c r="J64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new("H12", "Johan Fredholm", "Snättringe SK", T("00:00:00"),ParticipantStatus.NotStarted),</v>
      </c>
    </row>
    <row r="65" spans="1:10" x14ac:dyDescent="0.25">
      <c r="A65" t="s">
        <v>30</v>
      </c>
      <c r="B65" t="s">
        <v>175</v>
      </c>
      <c r="C65" t="s">
        <v>78</v>
      </c>
      <c r="D65" s="1">
        <v>42136.035486111112</v>
      </c>
      <c r="E65" t="s">
        <v>184</v>
      </c>
      <c r="F65" s="2">
        <f>IF(A65&lt;&gt;A64,Table_ungdomsserien2013_resultat[[#This Row],[Tid]],F64)</f>
        <v>42136.035486111112</v>
      </c>
      <c r="G65" s="2">
        <f>IF(ISNUMBER(Table_ungdomsserien2013_resultat[[#This Row],[Tid]]),Table_ungdomsserien2013_resultat[[#This Row],[Tid]]-Table_ungdomsserien2013_resultat[[#This Row],[Bästa tid]],NA())</f>
        <v>0</v>
      </c>
      <c r="H65">
        <f>Poäng(Table_ungdomsserien2013_resultat[[#This Row],[Klass]],Table_ungdomsserien2013_resultat[[#This Row],[Tid]],Table_ungdomsserien2013_resultat[[#This Row],[Status]],Table_ungdomsserien2013_resultat[[#This Row],[Bästa tid]])</f>
        <v>50</v>
      </c>
      <c r="I65" t="str" cm="1">
        <f t="array" ref="I65">ToStatus(Table_ungdomsserien2013_resultat[[#This Row],[Status]],TEXT(Table_ungdomsserien2013_resultat[[#This Row],[Tid]],"tt:mm:dd"))</f>
        <v>ParticipantStatus.Passed</v>
      </c>
      <c r="J65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new("D12K", "Saga Svennersjö", "Snättringe SK", T("00:51:12"),ParticipantStatus.Passed),</v>
      </c>
    </row>
    <row r="66" spans="1:10" x14ac:dyDescent="0.25">
      <c r="A66" t="s">
        <v>30</v>
      </c>
      <c r="B66" t="s">
        <v>49</v>
      </c>
      <c r="C66" t="s">
        <v>78</v>
      </c>
      <c r="D66" s="1">
        <v>42136.036203703705</v>
      </c>
      <c r="E66" t="s">
        <v>184</v>
      </c>
      <c r="F66" s="2">
        <f>IF(A66&lt;&gt;A65,Table_ungdomsserien2013_resultat[[#This Row],[Tid]],F65)</f>
        <v>42136.035486111112</v>
      </c>
      <c r="G66" s="2">
        <f>IF(ISNUMBER(Table_ungdomsserien2013_resultat[[#This Row],[Tid]]),Table_ungdomsserien2013_resultat[[#This Row],[Tid]]-Table_ungdomsserien2013_resultat[[#This Row],[Bästa tid]],NA())</f>
        <v>7.1759259299142286E-4</v>
      </c>
      <c r="H66">
        <f>Poäng(Table_ungdomsserien2013_resultat[[#This Row],[Klass]],Table_ungdomsserien2013_resultat[[#This Row],[Tid]],Table_ungdomsserien2013_resultat[[#This Row],[Status]],Table_ungdomsserien2013_resultat[[#This Row],[Bästa tid]])</f>
        <v>46</v>
      </c>
      <c r="I66" t="str" cm="1">
        <f t="array" ref="I66">ToStatus(Table_ungdomsserien2013_resultat[[#This Row],[Status]],TEXT(Table_ungdomsserien2013_resultat[[#This Row],[Tid]],"tt:mm:dd"))</f>
        <v>ParticipantStatus.Passed</v>
      </c>
      <c r="J66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new("D12K", "Elvira Hagström", "Snättringe SK", T("00:52:12"),ParticipantStatus.Passed),</v>
      </c>
    </row>
    <row r="67" spans="1:10" x14ac:dyDescent="0.25">
      <c r="A67" t="s">
        <v>30</v>
      </c>
      <c r="B67" t="s">
        <v>37</v>
      </c>
      <c r="C67" t="s">
        <v>78</v>
      </c>
      <c r="D67" s="1"/>
      <c r="E67" t="s">
        <v>185</v>
      </c>
      <c r="F67" s="2">
        <f>IF(A67&lt;&gt;A66,Table_ungdomsserien2013_resultat[[#This Row],[Tid]],F66)</f>
        <v>42136.035486111112</v>
      </c>
      <c r="G67" s="2" t="e">
        <f>IF(ISNUMBER(Table_ungdomsserien2013_resultat[[#This Row],[Tid]]),Table_ungdomsserien2013_resultat[[#This Row],[Tid]]-Table_ungdomsserien2013_resultat[[#This Row],[Bästa tid]],NA())</f>
        <v>#N/A</v>
      </c>
      <c r="H67">
        <f>Poäng(Table_ungdomsserien2013_resultat[[#This Row],[Klass]],Table_ungdomsserien2013_resultat[[#This Row],[Tid]],Table_ungdomsserien2013_resultat[[#This Row],[Status]],Table_ungdomsserien2013_resultat[[#This Row],[Bästa tid]])</f>
        <v>5</v>
      </c>
      <c r="I67" t="str" cm="1">
        <f t="array" ref="I67">ToStatus(Table_ungdomsserien2013_resultat[[#This Row],[Status]],TEXT(Table_ungdomsserien2013_resultat[[#This Row],[Tid]],"tt:mm:dd"))</f>
        <v>ParticipantStatus.Started</v>
      </c>
      <c r="J67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new("D12K", "Alicia Kallhauge", "Snättringe SK", T("00:00:00"),ParticipantStatus.Started),</v>
      </c>
    </row>
    <row r="68" spans="1:10" x14ac:dyDescent="0.25">
      <c r="A68" t="s">
        <v>32</v>
      </c>
      <c r="B68" t="s">
        <v>115</v>
      </c>
      <c r="C68" t="s">
        <v>78</v>
      </c>
      <c r="D68" s="1">
        <v>42136.012453703705</v>
      </c>
      <c r="E68" t="s">
        <v>184</v>
      </c>
      <c r="F68" s="2">
        <f>IF(A68&lt;&gt;A67,Table_ungdomsserien2013_resultat[[#This Row],[Tid]],F67)</f>
        <v>42136.012453703705</v>
      </c>
      <c r="G68" s="2">
        <f>IF(ISNUMBER(Table_ungdomsserien2013_resultat[[#This Row],[Tid]]),Table_ungdomsserien2013_resultat[[#This Row],[Tid]]-Table_ungdomsserien2013_resultat[[#This Row],[Bästa tid]],NA())</f>
        <v>0</v>
      </c>
      <c r="H68">
        <f>Poäng(Table_ungdomsserien2013_resultat[[#This Row],[Klass]],Table_ungdomsserien2013_resultat[[#This Row],[Tid]],Table_ungdomsserien2013_resultat[[#This Row],[Status]],Table_ungdomsserien2013_resultat[[#This Row],[Bästa tid]])</f>
        <v>50</v>
      </c>
      <c r="I68" t="str" cm="1">
        <f t="array" ref="I68">ToStatus(Table_ungdomsserien2013_resultat[[#This Row],[Status]],TEXT(Table_ungdomsserien2013_resultat[[#This Row],[Tid]],"tt:mm:dd"))</f>
        <v>ParticipantStatus.Passed</v>
      </c>
      <c r="J68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new("H12K", "Harald Barck-Holst", "Snättringe SK", T("00:17:12"),ParticipantStatus.Passed),</v>
      </c>
    </row>
    <row r="69" spans="1:10" x14ac:dyDescent="0.25">
      <c r="A69" t="s">
        <v>32</v>
      </c>
      <c r="B69" t="s">
        <v>60</v>
      </c>
      <c r="C69" t="s">
        <v>80</v>
      </c>
      <c r="D69" s="1">
        <v>42136.014861111114</v>
      </c>
      <c r="E69" t="s">
        <v>184</v>
      </c>
      <c r="F69" s="2">
        <f>IF(A69&lt;&gt;A68,Table_ungdomsserien2013_resultat[[#This Row],[Tid]],F68)</f>
        <v>42136.012453703705</v>
      </c>
      <c r="G69" s="2">
        <f>IF(ISNUMBER(Table_ungdomsserien2013_resultat[[#This Row],[Tid]]),Table_ungdomsserien2013_resultat[[#This Row],[Tid]]-Table_ungdomsserien2013_resultat[[#This Row],[Bästa tid]],NA())</f>
        <v>2.4074074099189602E-3</v>
      </c>
      <c r="H69">
        <f>Poäng(Table_ungdomsserien2013_resultat[[#This Row],[Klass]],Table_ungdomsserien2013_resultat[[#This Row],[Tid]],Table_ungdomsserien2013_resultat[[#This Row],[Status]],Table_ungdomsserien2013_resultat[[#This Row],[Bästa tid]])</f>
        <v>42</v>
      </c>
      <c r="I69" t="str" cm="1">
        <f t="array" ref="I69">ToStatus(Table_ungdomsserien2013_resultat[[#This Row],[Status]],TEXT(Table_ungdomsserien2013_resultat[[#This Row],[Tid]],"tt:mm:dd"))</f>
        <v>ParticipantStatus.Passed</v>
      </c>
      <c r="J69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new("H12K", "Tage Mührer", "IFK Enskede", T("00:21:12"),ParticipantStatus.Passed),</v>
      </c>
    </row>
    <row r="70" spans="1:10" x14ac:dyDescent="0.25">
      <c r="A70" t="s">
        <v>32</v>
      </c>
      <c r="B70" t="s">
        <v>116</v>
      </c>
      <c r="C70" t="s">
        <v>79</v>
      </c>
      <c r="D70" s="1">
        <v>42136.030949074076</v>
      </c>
      <c r="E70" t="s">
        <v>184</v>
      </c>
      <c r="F70" s="2">
        <f>IF(A70&lt;&gt;A69,Table_ungdomsserien2013_resultat[[#This Row],[Tid]],F69)</f>
        <v>42136.012453703705</v>
      </c>
      <c r="G70" s="2">
        <f>IF(ISNUMBER(Table_ungdomsserien2013_resultat[[#This Row],[Tid]]),Table_ungdomsserien2013_resultat[[#This Row],[Tid]]-Table_ungdomsserien2013_resultat[[#This Row],[Bästa tid]],NA())</f>
        <v>1.8495370371965691E-2</v>
      </c>
      <c r="H70">
        <f>Poäng(Table_ungdomsserien2013_resultat[[#This Row],[Klass]],Table_ungdomsserien2013_resultat[[#This Row],[Tid]],Table_ungdomsserien2013_resultat[[#This Row],[Status]],Table_ungdomsserien2013_resultat[[#This Row],[Bästa tid]])</f>
        <v>15</v>
      </c>
      <c r="I70" t="str" cm="1">
        <f t="array" ref="I70">ToStatus(Table_ungdomsserien2013_resultat[[#This Row],[Status]],TEXT(Table_ungdomsserien2013_resultat[[#This Row],[Tid]],"tt:mm:dd"))</f>
        <v>ParticipantStatus.Passed</v>
      </c>
      <c r="J70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new("H12K", "Felix Tunell", "Haninge SOK", T("00:44:12"),ParticipantStatus.Passed),</v>
      </c>
    </row>
    <row r="71" spans="1:10" x14ac:dyDescent="0.25">
      <c r="A71" t="s">
        <v>32</v>
      </c>
      <c r="B71" t="s">
        <v>176</v>
      </c>
      <c r="C71" t="s">
        <v>80</v>
      </c>
      <c r="D71" s="1"/>
      <c r="E71" t="s">
        <v>187</v>
      </c>
      <c r="F71" s="2">
        <f>IF(A71&lt;&gt;A70,Table_ungdomsserien2013_resultat[[#This Row],[Tid]],F70)</f>
        <v>42136.012453703705</v>
      </c>
      <c r="G71" s="2" t="e">
        <f>IF(ISNUMBER(Table_ungdomsserien2013_resultat[[#This Row],[Tid]]),Table_ungdomsserien2013_resultat[[#This Row],[Tid]]-Table_ungdomsserien2013_resultat[[#This Row],[Bästa tid]],NA())</f>
        <v>#N/A</v>
      </c>
      <c r="H71">
        <f>Poäng(Table_ungdomsserien2013_resultat[[#This Row],[Klass]],Table_ungdomsserien2013_resultat[[#This Row],[Tid]],Table_ungdomsserien2013_resultat[[#This Row],[Status]],Table_ungdomsserien2013_resultat[[#This Row],[Bästa tid]])</f>
        <v>0</v>
      </c>
      <c r="I71" t="str" cm="1">
        <f t="array" ref="I71">ToStatus(Table_ungdomsserien2013_resultat[[#This Row],[Status]],TEXT(Table_ungdomsserien2013_resultat[[#This Row],[Tid]],"tt:mm:dd"))</f>
        <v>ParticipantStatus.NotStarted</v>
      </c>
      <c r="J71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new("H12K", "Filip Flodström", "IFK Enskede", T("00:00:00"),ParticipantStatus.NotStarted),</v>
      </c>
    </row>
    <row r="72" spans="1:10" x14ac:dyDescent="0.25">
      <c r="A72" t="s">
        <v>36</v>
      </c>
      <c r="B72" t="s">
        <v>50</v>
      </c>
      <c r="C72" t="s">
        <v>78</v>
      </c>
      <c r="D72" s="1">
        <v>42136.011990740742</v>
      </c>
      <c r="E72" t="s">
        <v>184</v>
      </c>
      <c r="F72" s="2">
        <f>IF(A72&lt;&gt;A71,Table_ungdomsserien2013_resultat[[#This Row],[Tid]],F71)</f>
        <v>42136.011990740742</v>
      </c>
      <c r="G72" s="2">
        <f>IF(ISNUMBER(Table_ungdomsserien2013_resultat[[#This Row],[Tid]]),Table_ungdomsserien2013_resultat[[#This Row],[Tid]]-Table_ungdomsserien2013_resultat[[#This Row],[Bästa tid]],NA())</f>
        <v>0</v>
      </c>
      <c r="H72">
        <f>Poäng(Table_ungdomsserien2013_resultat[[#This Row],[Klass]],Table_ungdomsserien2013_resultat[[#This Row],[Tid]],Table_ungdomsserien2013_resultat[[#This Row],[Status]],Table_ungdomsserien2013_resultat[[#This Row],[Bästa tid]])</f>
        <v>50</v>
      </c>
      <c r="I72" t="str" cm="1">
        <f t="array" ref="I72">ToStatus(Table_ungdomsserien2013_resultat[[#This Row],[Status]],TEXT(Table_ungdomsserien2013_resultat[[#This Row],[Tid]],"tt:mm:dd"))</f>
        <v>ParticipantStatus.Passed</v>
      </c>
      <c r="J72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new("D10", "Alva Lidström Lauri", "Snättringe SK", T("00:17:12"),ParticipantStatus.Passed),</v>
      </c>
    </row>
    <row r="73" spans="1:10" x14ac:dyDescent="0.25">
      <c r="A73" t="s">
        <v>36</v>
      </c>
      <c r="B73" t="s">
        <v>119</v>
      </c>
      <c r="C73" t="s">
        <v>78</v>
      </c>
      <c r="D73" s="1">
        <v>42136.014317129629</v>
      </c>
      <c r="E73" t="s">
        <v>184</v>
      </c>
      <c r="F73" s="2">
        <f>IF(A73&lt;&gt;A72,Table_ungdomsserien2013_resultat[[#This Row],[Tid]],F72)</f>
        <v>42136.011990740742</v>
      </c>
      <c r="G73" s="2">
        <f>IF(ISNUMBER(Table_ungdomsserien2013_resultat[[#This Row],[Tid]]),Table_ungdomsserien2013_resultat[[#This Row],[Tid]]-Table_ungdomsserien2013_resultat[[#This Row],[Bästa tid]],NA())</f>
        <v>2.3263888870133087E-3</v>
      </c>
      <c r="H73">
        <f>Poäng(Table_ungdomsserien2013_resultat[[#This Row],[Klass]],Table_ungdomsserien2013_resultat[[#This Row],[Tid]],Table_ungdomsserien2013_resultat[[#This Row],[Status]],Table_ungdomsserien2013_resultat[[#This Row],[Bästa tid]])</f>
        <v>42</v>
      </c>
      <c r="I73" t="str" cm="1">
        <f t="array" ref="I73">ToStatus(Table_ungdomsserien2013_resultat[[#This Row],[Status]],TEXT(Table_ungdomsserien2013_resultat[[#This Row],[Tid]],"tt:mm:dd"))</f>
        <v>ParticipantStatus.Passed</v>
      </c>
      <c r="J73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new("D10", "Hanna Carlqvist", "Snättringe SK", T("00:20:12"),ParticipantStatus.Passed),</v>
      </c>
    </row>
    <row r="74" spans="1:10" x14ac:dyDescent="0.25">
      <c r="A74" t="s">
        <v>36</v>
      </c>
      <c r="B74" t="s">
        <v>55</v>
      </c>
      <c r="C74" t="s">
        <v>80</v>
      </c>
      <c r="D74" s="1">
        <v>42136.014641203707</v>
      </c>
      <c r="E74" t="s">
        <v>184</v>
      </c>
      <c r="F74" s="2">
        <f>IF(A74&lt;&gt;A73,Table_ungdomsserien2013_resultat[[#This Row],[Tid]],F73)</f>
        <v>42136.011990740742</v>
      </c>
      <c r="G74" s="2">
        <f>IF(ISNUMBER(Table_ungdomsserien2013_resultat[[#This Row],[Tid]]),Table_ungdomsserien2013_resultat[[#This Row],[Tid]]-Table_ungdomsserien2013_resultat[[#This Row],[Bästa tid]],NA())</f>
        <v>2.6504629640839994E-3</v>
      </c>
      <c r="H74">
        <f>Poäng(Table_ungdomsserien2013_resultat[[#This Row],[Klass]],Table_ungdomsserien2013_resultat[[#This Row],[Tid]],Table_ungdomsserien2013_resultat[[#This Row],[Status]],Table_ungdomsserien2013_resultat[[#This Row],[Bästa tid]])</f>
        <v>42</v>
      </c>
      <c r="I74" t="str" cm="1">
        <f t="array" ref="I74">ToStatus(Table_ungdomsserien2013_resultat[[#This Row],[Status]],TEXT(Table_ungdomsserien2013_resultat[[#This Row],[Tid]],"tt:mm:dd"))</f>
        <v>ParticipantStatus.Passed</v>
      </c>
      <c r="J74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new("D10", "Lovisa Lindqvist", "IFK Enskede", T("00:21:12"),ParticipantStatus.Passed),</v>
      </c>
    </row>
    <row r="75" spans="1:10" x14ac:dyDescent="0.25">
      <c r="A75" t="s">
        <v>36</v>
      </c>
      <c r="B75" t="s">
        <v>52</v>
      </c>
      <c r="C75" t="s">
        <v>80</v>
      </c>
      <c r="D75" s="1">
        <v>42136.015856481485</v>
      </c>
      <c r="E75" t="s">
        <v>184</v>
      </c>
      <c r="F75" s="2">
        <f>IF(A75&lt;&gt;A74,Table_ungdomsserien2013_resultat[[#This Row],[Tid]],F74)</f>
        <v>42136.011990740742</v>
      </c>
      <c r="G75" s="2">
        <f>IF(ISNUMBER(Table_ungdomsserien2013_resultat[[#This Row],[Tid]]),Table_ungdomsserien2013_resultat[[#This Row],[Tid]]-Table_ungdomsserien2013_resultat[[#This Row],[Bästa tid]],NA())</f>
        <v>3.8657407421851531E-3</v>
      </c>
      <c r="H75">
        <f>Poäng(Table_ungdomsserien2013_resultat[[#This Row],[Klass]],Table_ungdomsserien2013_resultat[[#This Row],[Tid]],Table_ungdomsserien2013_resultat[[#This Row],[Status]],Table_ungdomsserien2013_resultat[[#This Row],[Bästa tid]])</f>
        <v>38</v>
      </c>
      <c r="I75" t="str" cm="1">
        <f t="array" ref="I75">ToStatus(Table_ungdomsserien2013_resultat[[#This Row],[Status]],TEXT(Table_ungdomsserien2013_resultat[[#This Row],[Tid]],"tt:mm:dd"))</f>
        <v>ParticipantStatus.Passed</v>
      </c>
      <c r="J75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new("D10", "Emma Hallendal", "IFK Enskede", T("00:22:12"),ParticipantStatus.Passed),</v>
      </c>
    </row>
    <row r="76" spans="1:10" x14ac:dyDescent="0.25">
      <c r="A76" t="s">
        <v>36</v>
      </c>
      <c r="B76" t="s">
        <v>117</v>
      </c>
      <c r="C76" t="s">
        <v>78</v>
      </c>
      <c r="D76" s="1">
        <v>42136.017337962963</v>
      </c>
      <c r="E76" t="s">
        <v>184</v>
      </c>
      <c r="F76" s="2">
        <f>IF(A76&lt;&gt;A75,Table_ungdomsserien2013_resultat[[#This Row],[Tid]],F75)</f>
        <v>42136.011990740742</v>
      </c>
      <c r="G76" s="2">
        <f>IF(ISNUMBER(Table_ungdomsserien2013_resultat[[#This Row],[Tid]]),Table_ungdomsserien2013_resultat[[#This Row],[Tid]]-Table_ungdomsserien2013_resultat[[#This Row],[Bästa tid]],NA())</f>
        <v>5.3472222207346931E-3</v>
      </c>
      <c r="H76">
        <f>Poäng(Table_ungdomsserien2013_resultat[[#This Row],[Klass]],Table_ungdomsserien2013_resultat[[#This Row],[Tid]],Table_ungdomsserien2013_resultat[[#This Row],[Status]],Table_ungdomsserien2013_resultat[[#This Row],[Bästa tid]])</f>
        <v>34</v>
      </c>
      <c r="I76" t="str" cm="1">
        <f t="array" ref="I76">ToStatus(Table_ungdomsserien2013_resultat[[#This Row],[Status]],TEXT(Table_ungdomsserien2013_resultat[[#This Row],[Tid]],"tt:mm:dd"))</f>
        <v>ParticipantStatus.Passed</v>
      </c>
      <c r="J76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new("D10", "Ellen Sandblom", "Snättringe SK", T("00:24:12"),ParticipantStatus.Passed),</v>
      </c>
    </row>
    <row r="77" spans="1:10" x14ac:dyDescent="0.25">
      <c r="A77" t="s">
        <v>36</v>
      </c>
      <c r="B77" t="s">
        <v>118</v>
      </c>
      <c r="C77" t="s">
        <v>80</v>
      </c>
      <c r="D77" s="1">
        <v>42136.019768518519</v>
      </c>
      <c r="E77" t="s">
        <v>184</v>
      </c>
      <c r="F77" s="2">
        <f>IF(A77&lt;&gt;A76,Table_ungdomsserien2013_resultat[[#This Row],[Tid]],F76)</f>
        <v>42136.011990740742</v>
      </c>
      <c r="G77" s="2">
        <f>IF(ISNUMBER(Table_ungdomsserien2013_resultat[[#This Row],[Tid]]),Table_ungdomsserien2013_resultat[[#This Row],[Tid]]-Table_ungdomsserien2013_resultat[[#This Row],[Bästa tid]],NA())</f>
        <v>7.7777777769370005E-3</v>
      </c>
      <c r="H77">
        <f>Poäng(Table_ungdomsserien2013_resultat[[#This Row],[Klass]],Table_ungdomsserien2013_resultat[[#This Row],[Tid]],Table_ungdomsserien2013_resultat[[#This Row],[Status]],Table_ungdomsserien2013_resultat[[#This Row],[Bästa tid]])</f>
        <v>26</v>
      </c>
      <c r="I77" t="str" cm="1">
        <f t="array" ref="I77">ToStatus(Table_ungdomsserien2013_resultat[[#This Row],[Status]],TEXT(Table_ungdomsserien2013_resultat[[#This Row],[Tid]],"tt:mm:dd"))</f>
        <v>ParticipantStatus.Passed</v>
      </c>
      <c r="J77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new("D10", "Linn Deboussard", "IFK Enskede", T("00:28:12"),ParticipantStatus.Passed),</v>
      </c>
    </row>
    <row r="78" spans="1:10" x14ac:dyDescent="0.25">
      <c r="A78" t="s">
        <v>36</v>
      </c>
      <c r="B78" t="s">
        <v>53</v>
      </c>
      <c r="C78" t="s">
        <v>78</v>
      </c>
      <c r="D78" s="1">
        <v>42136.024386574078</v>
      </c>
      <c r="E78" t="s">
        <v>184</v>
      </c>
      <c r="F78" s="2">
        <f>IF(A78&lt;&gt;A77,Table_ungdomsserien2013_resultat[[#This Row],[Tid]],F77)</f>
        <v>42136.011990740742</v>
      </c>
      <c r="G78" s="2">
        <f>IF(ISNUMBER(Table_ungdomsserien2013_resultat[[#This Row],[Tid]]),Table_ungdomsserien2013_resultat[[#This Row],[Tid]]-Table_ungdomsserien2013_resultat[[#This Row],[Bästa tid]],NA())</f>
        <v>1.2395833335176576E-2</v>
      </c>
      <c r="H78">
        <f>Poäng(Table_ungdomsserien2013_resultat[[#This Row],[Klass]],Table_ungdomsserien2013_resultat[[#This Row],[Tid]],Table_ungdomsserien2013_resultat[[#This Row],[Status]],Table_ungdomsserien2013_resultat[[#This Row],[Bästa tid]])</f>
        <v>15</v>
      </c>
      <c r="I78" t="str" cm="1">
        <f t="array" ref="I78">ToStatus(Table_ungdomsserien2013_resultat[[#This Row],[Status]],TEXT(Table_ungdomsserien2013_resultat[[#This Row],[Tid]],"tt:mm:dd"))</f>
        <v>ParticipantStatus.Passed</v>
      </c>
      <c r="J78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new("D10", "Molly Gelius", "Snättringe SK", T("00:35:12"),ParticipantStatus.Passed),</v>
      </c>
    </row>
    <row r="79" spans="1:10" x14ac:dyDescent="0.25">
      <c r="A79" t="s">
        <v>39</v>
      </c>
      <c r="B79" t="s">
        <v>65</v>
      </c>
      <c r="C79" t="s">
        <v>79</v>
      </c>
      <c r="D79" s="1">
        <v>42136.010810185187</v>
      </c>
      <c r="E79" t="s">
        <v>184</v>
      </c>
      <c r="F79" s="2">
        <f>IF(A79&lt;&gt;A78,Table_ungdomsserien2013_resultat[[#This Row],[Tid]],F78)</f>
        <v>42136.010810185187</v>
      </c>
      <c r="G79" s="2">
        <f>IF(ISNUMBER(Table_ungdomsserien2013_resultat[[#This Row],[Tid]]),Table_ungdomsserien2013_resultat[[#This Row],[Tid]]-Table_ungdomsserien2013_resultat[[#This Row],[Bästa tid]],NA())</f>
        <v>0</v>
      </c>
      <c r="H79">
        <f>Poäng(Table_ungdomsserien2013_resultat[[#This Row],[Klass]],Table_ungdomsserien2013_resultat[[#This Row],[Tid]],Table_ungdomsserien2013_resultat[[#This Row],[Status]],Table_ungdomsserien2013_resultat[[#This Row],[Bästa tid]])</f>
        <v>50</v>
      </c>
      <c r="I79" t="str" cm="1">
        <f t="array" ref="I79">ToStatus(Table_ungdomsserien2013_resultat[[#This Row],[Status]],TEXT(Table_ungdomsserien2013_resultat[[#This Row],[Tid]],"tt:mm:dd"))</f>
        <v>ParticipantStatus.Passed</v>
      </c>
      <c r="J79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new("H10", "Erik Nederheim", "Haninge SOK", T("00:15:12"),ParticipantStatus.Passed),</v>
      </c>
    </row>
    <row r="80" spans="1:10" x14ac:dyDescent="0.25">
      <c r="A80" t="s">
        <v>39</v>
      </c>
      <c r="B80" t="s">
        <v>48</v>
      </c>
      <c r="C80" t="s">
        <v>80</v>
      </c>
      <c r="D80" s="1">
        <v>42136.011643518519</v>
      </c>
      <c r="E80" t="s">
        <v>184</v>
      </c>
      <c r="F80" s="2">
        <f>IF(A80&lt;&gt;A79,Table_ungdomsserien2013_resultat[[#This Row],[Tid]],F79)</f>
        <v>42136.010810185187</v>
      </c>
      <c r="G80" s="2">
        <f>IF(ISNUMBER(Table_ungdomsserien2013_resultat[[#This Row],[Tid]]),Table_ungdomsserien2013_resultat[[#This Row],[Tid]]-Table_ungdomsserien2013_resultat[[#This Row],[Bästa tid]],NA())</f>
        <v>8.3333333168411627E-4</v>
      </c>
      <c r="H80">
        <f>Poäng(Table_ungdomsserien2013_resultat[[#This Row],[Klass]],Table_ungdomsserien2013_resultat[[#This Row],[Tid]],Table_ungdomsserien2013_resultat[[#This Row],[Status]],Table_ungdomsserien2013_resultat[[#This Row],[Bästa tid]])</f>
        <v>46</v>
      </c>
      <c r="I80" t="str" cm="1">
        <f t="array" ref="I80">ToStatus(Table_ungdomsserien2013_resultat[[#This Row],[Status]],TEXT(Table_ungdomsserien2013_resultat[[#This Row],[Tid]],"tt:mm:dd"))</f>
        <v>ParticipantStatus.Passed</v>
      </c>
      <c r="J80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new("H10", "Hannes Lindqvist", "IFK Enskede", T("00:16:12"),ParticipantStatus.Passed),</v>
      </c>
    </row>
    <row r="81" spans="1:10" x14ac:dyDescent="0.25">
      <c r="A81" t="s">
        <v>39</v>
      </c>
      <c r="B81" t="s">
        <v>51</v>
      </c>
      <c r="C81" t="s">
        <v>79</v>
      </c>
      <c r="D81" s="1">
        <v>42136.01358796296</v>
      </c>
      <c r="E81" t="s">
        <v>184</v>
      </c>
      <c r="F81" s="2">
        <f>IF(A81&lt;&gt;A80,Table_ungdomsserien2013_resultat[[#This Row],[Tid]],F80)</f>
        <v>42136.010810185187</v>
      </c>
      <c r="G81" s="2">
        <f>IF(ISNUMBER(Table_ungdomsserien2013_resultat[[#This Row],[Tid]]),Table_ungdomsserien2013_resultat[[#This Row],[Tid]]-Table_ungdomsserien2013_resultat[[#This Row],[Bästa tid]],NA())</f>
        <v>2.7777777722803876E-3</v>
      </c>
      <c r="H81">
        <f>Poäng(Table_ungdomsserien2013_resultat[[#This Row],[Klass]],Table_ungdomsserien2013_resultat[[#This Row],[Tid]],Table_ungdomsserien2013_resultat[[#This Row],[Status]],Table_ungdomsserien2013_resultat[[#This Row],[Bästa tid]])</f>
        <v>42</v>
      </c>
      <c r="I81" t="str" cm="1">
        <f t="array" ref="I81">ToStatus(Table_ungdomsserien2013_resultat[[#This Row],[Status]],TEXT(Table_ungdomsserien2013_resultat[[#This Row],[Tid]],"tt:mm:dd"))</f>
        <v>ParticipantStatus.Passed</v>
      </c>
      <c r="J81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new("H10", "Gustav Haglund", "Haninge SOK", T("00:19:12"),ParticipantStatus.Passed),</v>
      </c>
    </row>
    <row r="82" spans="1:10" x14ac:dyDescent="0.25">
      <c r="A82" t="s">
        <v>39</v>
      </c>
      <c r="B82" t="s">
        <v>121</v>
      </c>
      <c r="C82" t="s">
        <v>78</v>
      </c>
      <c r="D82" s="1">
        <v>42136.019004629627</v>
      </c>
      <c r="E82" t="s">
        <v>184</v>
      </c>
      <c r="F82" s="2">
        <f>IF(A82&lt;&gt;A81,Table_ungdomsserien2013_resultat[[#This Row],[Tid]],F81)</f>
        <v>42136.010810185187</v>
      </c>
      <c r="G82" s="2">
        <f>IF(ISNUMBER(Table_ungdomsserien2013_resultat[[#This Row],[Tid]]),Table_ungdomsserien2013_resultat[[#This Row],[Tid]]-Table_ungdomsserien2013_resultat[[#This Row],[Bästa tid]],NA())</f>
        <v>8.1944444391410798E-3</v>
      </c>
      <c r="H82">
        <f>Poäng(Table_ungdomsserien2013_resultat[[#This Row],[Klass]],Table_ungdomsserien2013_resultat[[#This Row],[Tid]],Table_ungdomsserien2013_resultat[[#This Row],[Status]],Table_ungdomsserien2013_resultat[[#This Row],[Bästa tid]])</f>
        <v>26</v>
      </c>
      <c r="I82" t="str" cm="1">
        <f t="array" ref="I82">ToStatus(Table_ungdomsserien2013_resultat[[#This Row],[Status]],TEXT(Table_ungdomsserien2013_resultat[[#This Row],[Tid]],"tt:mm:dd"))</f>
        <v>ParticipantStatus.Passed</v>
      </c>
      <c r="J82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new("H10", "Stanislaw Kowalik", "Snättringe SK", T("00:27:12"),ParticipantStatus.Passed),</v>
      </c>
    </row>
    <row r="83" spans="1:10" x14ac:dyDescent="0.25">
      <c r="A83" t="s">
        <v>39</v>
      </c>
      <c r="B83" t="s">
        <v>122</v>
      </c>
      <c r="C83" t="s">
        <v>79</v>
      </c>
      <c r="D83" s="1">
        <v>42136.019444444442</v>
      </c>
      <c r="E83" t="s">
        <v>184</v>
      </c>
      <c r="F83" s="2">
        <f>IF(A83&lt;&gt;A82,Table_ungdomsserien2013_resultat[[#This Row],[Tid]],F82)</f>
        <v>42136.010810185187</v>
      </c>
      <c r="G83" s="2">
        <f>IF(ISNUMBER(Table_ungdomsserien2013_resultat[[#This Row],[Tid]]),Table_ungdomsserien2013_resultat[[#This Row],[Tid]]-Table_ungdomsserien2013_resultat[[#This Row],[Bästa tid]],NA())</f>
        <v>8.6342592549044639E-3</v>
      </c>
      <c r="H83">
        <f>Poäng(Table_ungdomsserien2013_resultat[[#This Row],[Klass]],Table_ungdomsserien2013_resultat[[#This Row],[Tid]],Table_ungdomsserien2013_resultat[[#This Row],[Status]],Table_ungdomsserien2013_resultat[[#This Row],[Bästa tid]])</f>
        <v>24</v>
      </c>
      <c r="I83" t="str" cm="1">
        <f t="array" ref="I83">ToStatus(Table_ungdomsserien2013_resultat[[#This Row],[Status]],TEXT(Table_ungdomsserien2013_resultat[[#This Row],[Tid]],"tt:mm:dd"))</f>
        <v>ParticipantStatus.Passed</v>
      </c>
      <c r="J83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new("H10", "Peter Lindvall", "Haninge SOK", T("00:28:12"),ParticipantStatus.Passed),</v>
      </c>
    </row>
    <row r="84" spans="1:10" x14ac:dyDescent="0.25">
      <c r="A84" t="s">
        <v>39</v>
      </c>
      <c r="B84" t="s">
        <v>120</v>
      </c>
      <c r="C84" t="s">
        <v>78</v>
      </c>
      <c r="D84" s="1">
        <v>42136.020300925928</v>
      </c>
      <c r="E84" t="s">
        <v>184</v>
      </c>
      <c r="F84" s="2">
        <f>IF(A84&lt;&gt;A83,Table_ungdomsserien2013_resultat[[#This Row],[Tid]],F83)</f>
        <v>42136.010810185187</v>
      </c>
      <c r="G84" s="2">
        <f>IF(ISNUMBER(Table_ungdomsserien2013_resultat[[#This Row],[Tid]]),Table_ungdomsserien2013_resultat[[#This Row],[Tid]]-Table_ungdomsserien2013_resultat[[#This Row],[Bästa tid]],NA())</f>
        <v>9.4907407401478849E-3</v>
      </c>
      <c r="H84">
        <f>Poäng(Table_ungdomsserien2013_resultat[[#This Row],[Klass]],Table_ungdomsserien2013_resultat[[#This Row],[Tid]],Table_ungdomsserien2013_resultat[[#This Row],[Status]],Table_ungdomsserien2013_resultat[[#This Row],[Bästa tid]])</f>
        <v>22</v>
      </c>
      <c r="I84" t="str" cm="1">
        <f t="array" ref="I84">ToStatus(Table_ungdomsserien2013_resultat[[#This Row],[Status]],TEXT(Table_ungdomsserien2013_resultat[[#This Row],[Tid]],"tt:mm:dd"))</f>
        <v>ParticipantStatus.Passed</v>
      </c>
      <c r="J84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new("H10", "Anton Dyrelius", "Snättringe SK", T("00:29:12"),ParticipantStatus.Passed),</v>
      </c>
    </row>
    <row r="85" spans="1:10" x14ac:dyDescent="0.25">
      <c r="A85" t="s">
        <v>39</v>
      </c>
      <c r="B85" t="s">
        <v>61</v>
      </c>
      <c r="C85" t="s">
        <v>79</v>
      </c>
      <c r="D85" s="1">
        <v>42136.021701388891</v>
      </c>
      <c r="E85" t="s">
        <v>184</v>
      </c>
      <c r="F85" s="2">
        <f>IF(A85&lt;&gt;A84,Table_ungdomsserien2013_resultat[[#This Row],[Tid]],F84)</f>
        <v>42136.010810185187</v>
      </c>
      <c r="G85" s="2">
        <f>IF(ISNUMBER(Table_ungdomsserien2013_resultat[[#This Row],[Tid]]),Table_ungdomsserien2013_resultat[[#This Row],[Tid]]-Table_ungdomsserien2013_resultat[[#This Row],[Bästa tid]],NA())</f>
        <v>1.0891203703067731E-2</v>
      </c>
      <c r="H85">
        <f>Poäng(Table_ungdomsserien2013_resultat[[#This Row],[Klass]],Table_ungdomsserien2013_resultat[[#This Row],[Tid]],Table_ungdomsserien2013_resultat[[#This Row],[Status]],Table_ungdomsserien2013_resultat[[#This Row],[Bästa tid]])</f>
        <v>18</v>
      </c>
      <c r="I85" t="str" cm="1">
        <f t="array" ref="I85">ToStatus(Table_ungdomsserien2013_resultat[[#This Row],[Status]],TEXT(Table_ungdomsserien2013_resultat[[#This Row],[Tid]],"tt:mm:dd"))</f>
        <v>ParticipantStatus.Passed</v>
      </c>
      <c r="J85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new("H10", "Gustav Storell", "Haninge SOK", T("00:31:12"),ParticipantStatus.Passed),</v>
      </c>
    </row>
    <row r="86" spans="1:10" x14ac:dyDescent="0.25">
      <c r="A86" t="s">
        <v>44</v>
      </c>
      <c r="B86" t="s">
        <v>126</v>
      </c>
      <c r="C86" t="s">
        <v>79</v>
      </c>
      <c r="D86" s="1">
        <v>42136.012291666666</v>
      </c>
      <c r="E86" t="s">
        <v>184</v>
      </c>
      <c r="F86" s="2">
        <f>IF(A86&lt;&gt;A85,Table_ungdomsserien2013_resultat[[#This Row],[Tid]],F85)</f>
        <v>42136.012291666666</v>
      </c>
      <c r="G86" s="2">
        <f>IF(ISNUMBER(Table_ungdomsserien2013_resultat[[#This Row],[Tid]]),Table_ungdomsserien2013_resultat[[#This Row],[Tid]]-Table_ungdomsserien2013_resultat[[#This Row],[Bästa tid]],NA())</f>
        <v>0</v>
      </c>
      <c r="H86">
        <f>Poäng(Table_ungdomsserien2013_resultat[[#This Row],[Klass]],Table_ungdomsserien2013_resultat[[#This Row],[Tid]],Table_ungdomsserien2013_resultat[[#This Row],[Status]],Table_ungdomsserien2013_resultat[[#This Row],[Bästa tid]])</f>
        <v>10</v>
      </c>
      <c r="I86" t="str" cm="1">
        <f t="array" ref="I86">ToStatus(Table_ungdomsserien2013_resultat[[#This Row],[Status]],TEXT(Table_ungdomsserien2013_resultat[[#This Row],[Tid]],"tt:mm:dd"))</f>
        <v>ParticipantStatus.Passed</v>
      </c>
      <c r="J86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new("Insk", "Henrik Haglund", "Haninge SOK", T("00:17:12"),ParticipantStatus.Passed),</v>
      </c>
    </row>
    <row r="87" spans="1:10" x14ac:dyDescent="0.25">
      <c r="A87" t="s">
        <v>44</v>
      </c>
      <c r="B87" t="s">
        <v>180</v>
      </c>
      <c r="C87" t="s">
        <v>78</v>
      </c>
      <c r="D87" s="1">
        <v>42136.014224537037</v>
      </c>
      <c r="E87" t="s">
        <v>184</v>
      </c>
      <c r="F87" s="2">
        <f>IF(A87&lt;&gt;A86,Table_ungdomsserien2013_resultat[[#This Row],[Tid]],F86)</f>
        <v>42136.012291666666</v>
      </c>
      <c r="G87" s="2">
        <f>IF(ISNUMBER(Table_ungdomsserien2013_resultat[[#This Row],[Tid]]),Table_ungdomsserien2013_resultat[[#This Row],[Tid]]-Table_ungdomsserien2013_resultat[[#This Row],[Bästa tid]],NA())</f>
        <v>1.9328703710925765E-3</v>
      </c>
      <c r="H87">
        <f>Poäng(Table_ungdomsserien2013_resultat[[#This Row],[Klass]],Table_ungdomsserien2013_resultat[[#This Row],[Tid]],Table_ungdomsserien2013_resultat[[#This Row],[Status]],Table_ungdomsserien2013_resultat[[#This Row],[Bästa tid]])</f>
        <v>10</v>
      </c>
      <c r="I87" t="str" cm="1">
        <f t="array" ref="I87">ToStatus(Table_ungdomsserien2013_resultat[[#This Row],[Status]],TEXT(Table_ungdomsserien2013_resultat[[#This Row],[Tid]],"tt:mm:dd"))</f>
        <v>ParticipantStatus.Passed</v>
      </c>
      <c r="J87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new("Insk", "Samuel Svennersjö", "Snättringe SK", T("00:20:12"),ParticipantStatus.Passed),</v>
      </c>
    </row>
    <row r="88" spans="1:10" x14ac:dyDescent="0.25">
      <c r="A88" t="s">
        <v>44</v>
      </c>
      <c r="B88" t="s">
        <v>179</v>
      </c>
      <c r="C88" t="s">
        <v>78</v>
      </c>
      <c r="D88" s="1">
        <v>42136.014363425929</v>
      </c>
      <c r="E88" t="s">
        <v>184</v>
      </c>
      <c r="F88" s="2">
        <f>IF(A88&lt;&gt;A87,Table_ungdomsserien2013_resultat[[#This Row],[Tid]],F87)</f>
        <v>42136.012291666666</v>
      </c>
      <c r="G88" s="2">
        <f>IF(ISNUMBER(Table_ungdomsserien2013_resultat[[#This Row],[Tid]]),Table_ungdomsserien2013_resultat[[#This Row],[Tid]]-Table_ungdomsserien2013_resultat[[#This Row],[Bästa tid]],NA())</f>
        <v>2.0717592633445747E-3</v>
      </c>
      <c r="H88">
        <f>Poäng(Table_ungdomsserien2013_resultat[[#This Row],[Klass]],Table_ungdomsserien2013_resultat[[#This Row],[Tid]],Table_ungdomsserien2013_resultat[[#This Row],[Status]],Table_ungdomsserien2013_resultat[[#This Row],[Bästa tid]])</f>
        <v>10</v>
      </c>
      <c r="I88" t="str" cm="1">
        <f t="array" ref="I88">ToStatus(Table_ungdomsserien2013_resultat[[#This Row],[Status]],TEXT(Table_ungdomsserien2013_resultat[[#This Row],[Tid]],"tt:mm:dd"))</f>
        <v>ParticipantStatus.Passed</v>
      </c>
      <c r="J88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new("Insk", "Wilhelm Engstrand", "Snättringe SK", T("00:20:12"),ParticipantStatus.Passed),</v>
      </c>
    </row>
    <row r="89" spans="1:10" x14ac:dyDescent="0.25">
      <c r="A89" t="s">
        <v>44</v>
      </c>
      <c r="B89" t="s">
        <v>178</v>
      </c>
      <c r="C89" t="s">
        <v>79</v>
      </c>
      <c r="D89" s="1">
        <v>42136.016111111108</v>
      </c>
      <c r="E89" t="s">
        <v>184</v>
      </c>
      <c r="F89" s="2">
        <f>IF(A89&lt;&gt;A88,Table_ungdomsserien2013_resultat[[#This Row],[Tid]],F88)</f>
        <v>42136.012291666666</v>
      </c>
      <c r="G89" s="2">
        <f>IF(ISNUMBER(Table_ungdomsserien2013_resultat[[#This Row],[Tid]]),Table_ungdomsserien2013_resultat[[#This Row],[Tid]]-Table_ungdomsserien2013_resultat[[#This Row],[Bästa tid]],NA())</f>
        <v>3.8194444423425011E-3</v>
      </c>
      <c r="H89">
        <f>Poäng(Table_ungdomsserien2013_resultat[[#This Row],[Klass]],Table_ungdomsserien2013_resultat[[#This Row],[Tid]],Table_ungdomsserien2013_resultat[[#This Row],[Status]],Table_ungdomsserien2013_resultat[[#This Row],[Bästa tid]])</f>
        <v>10</v>
      </c>
      <c r="I89" t="str" cm="1">
        <f t="array" ref="I89">ToStatus(Table_ungdomsserien2013_resultat[[#This Row],[Status]],TEXT(Table_ungdomsserien2013_resultat[[#This Row],[Tid]],"tt:mm:dd"))</f>
        <v>ParticipantStatus.Passed</v>
      </c>
      <c r="J89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new("Insk", "Lovisa Nederheim", "Haninge SOK", T("00:23:12"),ParticipantStatus.Passed),</v>
      </c>
    </row>
    <row r="90" spans="1:10" x14ac:dyDescent="0.25">
      <c r="A90" t="s">
        <v>44</v>
      </c>
      <c r="B90" t="s">
        <v>125</v>
      </c>
      <c r="C90" t="s">
        <v>79</v>
      </c>
      <c r="D90" s="1">
        <v>42136.017418981479</v>
      </c>
      <c r="E90" t="s">
        <v>184</v>
      </c>
      <c r="F90" s="2">
        <f>IF(A90&lt;&gt;A89,Table_ungdomsserien2013_resultat[[#This Row],[Tid]],F89)</f>
        <v>42136.012291666666</v>
      </c>
      <c r="G90" s="2">
        <f>IF(ISNUMBER(Table_ungdomsserien2013_resultat[[#This Row],[Tid]]),Table_ungdomsserien2013_resultat[[#This Row],[Tid]]-Table_ungdomsserien2013_resultat[[#This Row],[Bästa tid]],NA())</f>
        <v>5.1273148128530011E-3</v>
      </c>
      <c r="H90">
        <f>Poäng(Table_ungdomsserien2013_resultat[[#This Row],[Klass]],Table_ungdomsserien2013_resultat[[#This Row],[Tid]],Table_ungdomsserien2013_resultat[[#This Row],[Status]],Table_ungdomsserien2013_resultat[[#This Row],[Bästa tid]])</f>
        <v>10</v>
      </c>
      <c r="I90" t="str" cm="1">
        <f t="array" ref="I90">ToStatus(Table_ungdomsserien2013_resultat[[#This Row],[Status]],TEXT(Table_ungdomsserien2013_resultat[[#This Row],[Tid]],"tt:mm:dd"))</f>
        <v>ParticipantStatus.Passed</v>
      </c>
      <c r="J90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new("Insk", "Elin Storell", "Haninge SOK", T("00:25:12"),ParticipantStatus.Passed),</v>
      </c>
    </row>
    <row r="91" spans="1:10" x14ac:dyDescent="0.25">
      <c r="A91" t="s">
        <v>44</v>
      </c>
      <c r="B91" t="s">
        <v>127</v>
      </c>
      <c r="C91" t="s">
        <v>78</v>
      </c>
      <c r="D91" s="1">
        <v>42136.017500000002</v>
      </c>
      <c r="E91" t="s">
        <v>184</v>
      </c>
      <c r="F91" s="2">
        <f>IF(A91&lt;&gt;A90,Table_ungdomsserien2013_resultat[[#This Row],[Tid]],F90)</f>
        <v>42136.012291666666</v>
      </c>
      <c r="G91" s="2">
        <f>IF(ISNUMBER(Table_ungdomsserien2013_resultat[[#This Row],[Tid]]),Table_ungdomsserien2013_resultat[[#This Row],[Tid]]-Table_ungdomsserien2013_resultat[[#This Row],[Bästa tid]],NA())</f>
        <v>5.2083333357586525E-3</v>
      </c>
      <c r="H91">
        <f>Poäng(Table_ungdomsserien2013_resultat[[#This Row],[Klass]],Table_ungdomsserien2013_resultat[[#This Row],[Tid]],Table_ungdomsserien2013_resultat[[#This Row],[Status]],Table_ungdomsserien2013_resultat[[#This Row],[Bästa tid]])</f>
        <v>10</v>
      </c>
      <c r="I91" t="str" cm="1">
        <f t="array" ref="I91">ToStatus(Table_ungdomsserien2013_resultat[[#This Row],[Status]],TEXT(Table_ungdomsserien2013_resultat[[#This Row],[Tid]],"tt:mm:dd"))</f>
        <v>ParticipantStatus.Passed</v>
      </c>
      <c r="J91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new("Insk", "Folke Barck-Holst", "Snättringe SK", T("00:25:12"),ParticipantStatus.Passed),</v>
      </c>
    </row>
    <row r="92" spans="1:10" x14ac:dyDescent="0.25">
      <c r="A92" t="s">
        <v>44</v>
      </c>
      <c r="B92" t="s">
        <v>123</v>
      </c>
      <c r="C92" t="s">
        <v>78</v>
      </c>
      <c r="D92" s="1">
        <v>42136.019212962965</v>
      </c>
      <c r="E92" t="s">
        <v>184</v>
      </c>
      <c r="F92" s="2">
        <f>IF(A92&lt;&gt;A91,Table_ungdomsserien2013_resultat[[#This Row],[Tid]],F91)</f>
        <v>42136.012291666666</v>
      </c>
      <c r="G92" s="2">
        <f>IF(ISNUMBER(Table_ungdomsserien2013_resultat[[#This Row],[Tid]]),Table_ungdomsserien2013_resultat[[#This Row],[Tid]]-Table_ungdomsserien2013_resultat[[#This Row],[Bästa tid]],NA())</f>
        <v>6.921296298969537E-3</v>
      </c>
      <c r="H92">
        <f>Poäng(Table_ungdomsserien2013_resultat[[#This Row],[Klass]],Table_ungdomsserien2013_resultat[[#This Row],[Tid]],Table_ungdomsserien2013_resultat[[#This Row],[Status]],Table_ungdomsserien2013_resultat[[#This Row],[Bästa tid]])</f>
        <v>10</v>
      </c>
      <c r="I92" t="str" cm="1">
        <f t="array" ref="I92">ToStatus(Table_ungdomsserien2013_resultat[[#This Row],[Status]],TEXT(Table_ungdomsserien2013_resultat[[#This Row],[Tid]],"tt:mm:dd"))</f>
        <v>ParticipantStatus.Passed</v>
      </c>
      <c r="J92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new("Insk", "Hugo Abel", "Snättringe SK", T("00:27:12"),ParticipantStatus.Passed),</v>
      </c>
    </row>
    <row r="93" spans="1:10" x14ac:dyDescent="0.25">
      <c r="A93" t="s">
        <v>44</v>
      </c>
      <c r="B93" t="s">
        <v>124</v>
      </c>
      <c r="C93" t="s">
        <v>78</v>
      </c>
      <c r="D93" s="1">
        <v>42136.023680555554</v>
      </c>
      <c r="E93" t="s">
        <v>184</v>
      </c>
      <c r="F93" s="2">
        <f>IF(A93&lt;&gt;A92,Table_ungdomsserien2013_resultat[[#This Row],[Tid]],F92)</f>
        <v>42136.012291666666</v>
      </c>
      <c r="G93" s="2">
        <f>IF(ISNUMBER(Table_ungdomsserien2013_resultat[[#This Row],[Tid]]),Table_ungdomsserien2013_resultat[[#This Row],[Tid]]-Table_ungdomsserien2013_resultat[[#This Row],[Bästa tid]],NA())</f>
        <v>1.1388888888177462E-2</v>
      </c>
      <c r="H93">
        <f>Poäng(Table_ungdomsserien2013_resultat[[#This Row],[Klass]],Table_ungdomsserien2013_resultat[[#This Row],[Tid]],Table_ungdomsserien2013_resultat[[#This Row],[Status]],Table_ungdomsserien2013_resultat[[#This Row],[Bästa tid]])</f>
        <v>10</v>
      </c>
      <c r="I93" t="str" cm="1">
        <f t="array" ref="I93">ToStatus(Table_ungdomsserien2013_resultat[[#This Row],[Status]],TEXT(Table_ungdomsserien2013_resultat[[#This Row],[Tid]],"tt:mm:dd"))</f>
        <v>ParticipantStatus.Passed</v>
      </c>
      <c r="J93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new("Insk", "Rasmus Fujii", "Snättringe SK", T("00:34:12"),ParticipantStatus.Passed),</v>
      </c>
    </row>
    <row r="94" spans="1:10" x14ac:dyDescent="0.25">
      <c r="A94" t="s">
        <v>44</v>
      </c>
      <c r="B94" t="s">
        <v>177</v>
      </c>
      <c r="C94" t="s">
        <v>88</v>
      </c>
      <c r="D94" s="1">
        <v>42136.027951388889</v>
      </c>
      <c r="E94" t="s">
        <v>184</v>
      </c>
      <c r="F94" s="2">
        <f>IF(A94&lt;&gt;A93,Table_ungdomsserien2013_resultat[[#This Row],[Tid]],F93)</f>
        <v>42136.012291666666</v>
      </c>
      <c r="G94" s="2">
        <f>IF(ISNUMBER(Table_ungdomsserien2013_resultat[[#This Row],[Tid]]),Table_ungdomsserien2013_resultat[[#This Row],[Tid]]-Table_ungdomsserien2013_resultat[[#This Row],[Bästa tid]],NA())</f>
        <v>1.5659722223063E-2</v>
      </c>
      <c r="H94">
        <f>Poäng(Table_ungdomsserien2013_resultat[[#This Row],[Klass]],Table_ungdomsserien2013_resultat[[#This Row],[Tid]],Table_ungdomsserien2013_resultat[[#This Row],[Status]],Table_ungdomsserien2013_resultat[[#This Row],[Bästa tid]])</f>
        <v>10</v>
      </c>
      <c r="I94" t="str" cm="1">
        <f t="array" ref="I94">ToStatus(Table_ungdomsserien2013_resultat[[#This Row],[Status]],TEXT(Table_ungdomsserien2013_resultat[[#This Row],[Tid]],"tt:mm:dd"))</f>
        <v>ParticipantStatus.Passed</v>
      </c>
      <c r="J94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new("Insk", "Alvin Chavda", "Söders-Tyresö", T("00:40:12"),ParticipantStatus.Passed),</v>
      </c>
    </row>
    <row r="95" spans="1:10" x14ac:dyDescent="0.25">
      <c r="A95" t="s">
        <v>47</v>
      </c>
      <c r="B95" t="s">
        <v>181</v>
      </c>
      <c r="C95" t="s">
        <v>88</v>
      </c>
      <c r="D95" s="1">
        <v>42136.010358796295</v>
      </c>
      <c r="E95" t="s">
        <v>184</v>
      </c>
      <c r="F95" s="2">
        <f>IF(A95&lt;&gt;A94,Table_ungdomsserien2013_resultat[[#This Row],[Tid]],F94)</f>
        <v>42136.010358796295</v>
      </c>
      <c r="G95" s="2">
        <f>IF(ISNUMBER(Table_ungdomsserien2013_resultat[[#This Row],[Tid]]),Table_ungdomsserien2013_resultat[[#This Row],[Tid]]-Table_ungdomsserien2013_resultat[[#This Row],[Bästa tid]],NA())</f>
        <v>0</v>
      </c>
      <c r="H95">
        <f>Poäng(Table_ungdomsserien2013_resultat[[#This Row],[Klass]],Table_ungdomsserien2013_resultat[[#This Row],[Tid]],Table_ungdomsserien2013_resultat[[#This Row],[Status]],Table_ungdomsserien2013_resultat[[#This Row],[Bästa tid]])</f>
        <v>40</v>
      </c>
      <c r="I95" t="str" cm="1">
        <f t="array" ref="I95">ToStatus(Table_ungdomsserien2013_resultat[[#This Row],[Status]],TEXT(Table_ungdomsserien2013_resultat[[#This Row],[Tid]],"tt:mm:dd"))</f>
        <v>ParticipantStatus.Passed</v>
      </c>
      <c r="J95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new("U1", "Erik Norin", "Söders-Tyresö", T("00:14:12"),ParticipantStatus.Passed),</v>
      </c>
    </row>
    <row r="96" spans="1:10" x14ac:dyDescent="0.25">
      <c r="A96" t="s">
        <v>47</v>
      </c>
      <c r="B96" t="s">
        <v>46</v>
      </c>
      <c r="C96" t="s">
        <v>78</v>
      </c>
      <c r="D96" s="1">
        <v>42136.010497685187</v>
      </c>
      <c r="E96" t="s">
        <v>184</v>
      </c>
      <c r="F96" s="2">
        <f>IF(A96&lt;&gt;A95,Table_ungdomsserien2013_resultat[[#This Row],[Tid]],F95)</f>
        <v>42136.010358796295</v>
      </c>
      <c r="G96" s="2">
        <f>IF(ISNUMBER(Table_ungdomsserien2013_resultat[[#This Row],[Tid]]),Table_ungdomsserien2013_resultat[[#This Row],[Tid]]-Table_ungdomsserien2013_resultat[[#This Row],[Bästa tid]],NA())</f>
        <v>1.3888889225199819E-4</v>
      </c>
      <c r="H96">
        <f>Poäng(Table_ungdomsserien2013_resultat[[#This Row],[Klass]],Table_ungdomsserien2013_resultat[[#This Row],[Tid]],Table_ungdomsserien2013_resultat[[#This Row],[Status]],Table_ungdomsserien2013_resultat[[#This Row],[Bästa tid]])</f>
        <v>38</v>
      </c>
      <c r="I96" t="str" cm="1">
        <f t="array" ref="I96">ToStatus(Table_ungdomsserien2013_resultat[[#This Row],[Status]],TEXT(Table_ungdomsserien2013_resultat[[#This Row],[Tid]],"tt:mm:dd"))</f>
        <v>ParticipantStatus.Passed</v>
      </c>
      <c r="J96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new("U1", "David Nyberg", "Snättringe SK", T("00:15:12"),ParticipantStatus.Passed),</v>
      </c>
    </row>
    <row r="97" spans="1:10" x14ac:dyDescent="0.25">
      <c r="A97" t="s">
        <v>47</v>
      </c>
      <c r="B97" t="s">
        <v>128</v>
      </c>
      <c r="C97" t="s">
        <v>78</v>
      </c>
      <c r="D97" s="1">
        <v>42136.011458333334</v>
      </c>
      <c r="E97" t="s">
        <v>184</v>
      </c>
      <c r="F97" s="2">
        <f>IF(A97&lt;&gt;A96,Table_ungdomsserien2013_resultat[[#This Row],[Tid]],F96)</f>
        <v>42136.010358796295</v>
      </c>
      <c r="G97" s="2">
        <f>IF(ISNUMBER(Table_ungdomsserien2013_resultat[[#This Row],[Tid]]),Table_ungdomsserien2013_resultat[[#This Row],[Tid]]-Table_ungdomsserien2013_resultat[[#This Row],[Bästa tid]],NA())</f>
        <v>1.0995370394084603E-3</v>
      </c>
      <c r="H97">
        <f>Poäng(Table_ungdomsserien2013_resultat[[#This Row],[Klass]],Table_ungdomsserien2013_resultat[[#This Row],[Tid]],Table_ungdomsserien2013_resultat[[#This Row],[Status]],Table_ungdomsserien2013_resultat[[#This Row],[Bästa tid]])</f>
        <v>36</v>
      </c>
      <c r="I97" t="str" cm="1">
        <f t="array" ref="I97">ToStatus(Table_ungdomsserien2013_resultat[[#This Row],[Status]],TEXT(Table_ungdomsserien2013_resultat[[#This Row],[Tid]],"tt:mm:dd"))</f>
        <v>ParticipantStatus.Passed</v>
      </c>
      <c r="J97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new("U1", "Hugo Ziegler", "Snättringe SK", T("00:16:12"),ParticipantStatus.Passed),</v>
      </c>
    </row>
    <row r="98" spans="1:10" x14ac:dyDescent="0.25">
      <c r="A98" t="s">
        <v>47</v>
      </c>
      <c r="B98" t="s">
        <v>135</v>
      </c>
      <c r="C98" t="s">
        <v>78</v>
      </c>
      <c r="D98" s="1">
        <v>42136.01153935185</v>
      </c>
      <c r="E98" t="s">
        <v>184</v>
      </c>
      <c r="F98" s="2">
        <f>IF(A98&lt;&gt;A97,Table_ungdomsserien2013_resultat[[#This Row],[Tid]],F97)</f>
        <v>42136.010358796295</v>
      </c>
      <c r="G98" s="2">
        <f>IF(ISNUMBER(Table_ungdomsserien2013_resultat[[#This Row],[Tid]]),Table_ungdomsserien2013_resultat[[#This Row],[Tid]]-Table_ungdomsserien2013_resultat[[#This Row],[Bästa tid]],NA())</f>
        <v>1.1805555550381541E-3</v>
      </c>
      <c r="H98">
        <f>Poäng(Table_ungdomsserien2013_resultat[[#This Row],[Klass]],Table_ungdomsserien2013_resultat[[#This Row],[Tid]],Table_ungdomsserien2013_resultat[[#This Row],[Status]],Table_ungdomsserien2013_resultat[[#This Row],[Bästa tid]])</f>
        <v>36</v>
      </c>
      <c r="I98" t="str" cm="1">
        <f t="array" ref="I98">ToStatus(Table_ungdomsserien2013_resultat[[#This Row],[Status]],TEXT(Table_ungdomsserien2013_resultat[[#This Row],[Tid]],"tt:mm:dd"))</f>
        <v>ParticipantStatus.Passed</v>
      </c>
      <c r="J98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new("U1", "Hugo Pelander", "Snättringe SK", T("00:16:12"),ParticipantStatus.Passed),</v>
      </c>
    </row>
    <row r="99" spans="1:10" x14ac:dyDescent="0.25">
      <c r="A99" t="s">
        <v>47</v>
      </c>
      <c r="B99" t="s">
        <v>137</v>
      </c>
      <c r="C99" t="s">
        <v>78</v>
      </c>
      <c r="D99" s="1">
        <v>42136.011817129627</v>
      </c>
      <c r="E99" t="s">
        <v>184</v>
      </c>
      <c r="F99" s="2">
        <f>IF(A99&lt;&gt;A98,Table_ungdomsserien2013_resultat[[#This Row],[Tid]],F98)</f>
        <v>42136.010358796295</v>
      </c>
      <c r="G99" s="2">
        <f>IF(ISNUMBER(Table_ungdomsserien2013_resultat[[#This Row],[Tid]]),Table_ungdomsserien2013_resultat[[#This Row],[Tid]]-Table_ungdomsserien2013_resultat[[#This Row],[Bästa tid]],NA())</f>
        <v>1.4583333322661929E-3</v>
      </c>
      <c r="H99">
        <f>Poäng(Table_ungdomsserien2013_resultat[[#This Row],[Klass]],Table_ungdomsserien2013_resultat[[#This Row],[Tid]],Table_ungdomsserien2013_resultat[[#This Row],[Status]],Table_ungdomsserien2013_resultat[[#This Row],[Bästa tid]])</f>
        <v>34</v>
      </c>
      <c r="I99" t="str" cm="1">
        <f t="array" ref="I99">ToStatus(Table_ungdomsserien2013_resultat[[#This Row],[Status]],TEXT(Table_ungdomsserien2013_resultat[[#This Row],[Tid]],"tt:mm:dd"))</f>
        <v>ParticipantStatus.Passed</v>
      </c>
      <c r="J99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new("U1", "Magnus Barck-Holst", "Snättringe SK", T("00:17:12"),ParticipantStatus.Passed),</v>
      </c>
    </row>
    <row r="100" spans="1:10" x14ac:dyDescent="0.25">
      <c r="A100" t="s">
        <v>47</v>
      </c>
      <c r="B100" t="s">
        <v>134</v>
      </c>
      <c r="C100" t="s">
        <v>88</v>
      </c>
      <c r="D100" s="1">
        <v>42136.012280092589</v>
      </c>
      <c r="E100" t="s">
        <v>184</v>
      </c>
      <c r="F100" s="2">
        <f>IF(A100&lt;&gt;A99,Table_ungdomsserien2013_resultat[[#This Row],[Tid]],F99)</f>
        <v>42136.010358796295</v>
      </c>
      <c r="G100" s="2">
        <f>IF(ISNUMBER(Table_ungdomsserien2013_resultat[[#This Row],[Tid]]),Table_ungdomsserien2013_resultat[[#This Row],[Tid]]-Table_ungdomsserien2013_resultat[[#This Row],[Bästa tid]],NA())</f>
        <v>1.9212962943129241E-3</v>
      </c>
      <c r="H100">
        <f>Poäng(Table_ungdomsserien2013_resultat[[#This Row],[Klass]],Table_ungdomsserien2013_resultat[[#This Row],[Tid]],Table_ungdomsserien2013_resultat[[#This Row],[Status]],Table_ungdomsserien2013_resultat[[#This Row],[Bästa tid]])</f>
        <v>34</v>
      </c>
      <c r="I100" t="str" cm="1">
        <f t="array" ref="I100">ToStatus(Table_ungdomsserien2013_resultat[[#This Row],[Status]],TEXT(Table_ungdomsserien2013_resultat[[#This Row],[Tid]],"tt:mm:dd"))</f>
        <v>ParticipantStatus.Passed</v>
      </c>
      <c r="J100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new("U1", "Lina Chavda", "Söders-Tyresö", T("00:17:12"),ParticipantStatus.Passed),</v>
      </c>
    </row>
    <row r="101" spans="1:10" x14ac:dyDescent="0.25">
      <c r="A101" t="s">
        <v>47</v>
      </c>
      <c r="B101" t="s">
        <v>145</v>
      </c>
      <c r="C101" t="s">
        <v>80</v>
      </c>
      <c r="D101" s="1">
        <v>42136.012476851851</v>
      </c>
      <c r="E101" t="s">
        <v>184</v>
      </c>
      <c r="F101" s="2">
        <f>IF(A101&lt;&gt;A100,Table_ungdomsserien2013_resultat[[#This Row],[Tid]],F100)</f>
        <v>42136.010358796295</v>
      </c>
      <c r="G101" s="2">
        <f>IF(ISNUMBER(Table_ungdomsserien2013_resultat[[#This Row],[Tid]]),Table_ungdomsserien2013_resultat[[#This Row],[Tid]]-Table_ungdomsserien2013_resultat[[#This Row],[Bästa tid]],NA())</f>
        <v>2.118055555911269E-3</v>
      </c>
      <c r="H101">
        <f>Poäng(Table_ungdomsserien2013_resultat[[#This Row],[Klass]],Table_ungdomsserien2013_resultat[[#This Row],[Tid]],Table_ungdomsserien2013_resultat[[#This Row],[Status]],Table_ungdomsserien2013_resultat[[#This Row],[Bästa tid]])</f>
        <v>32</v>
      </c>
      <c r="I101" t="str" cm="1">
        <f t="array" ref="I101">ToStatus(Table_ungdomsserien2013_resultat[[#This Row],[Status]],TEXT(Table_ungdomsserien2013_resultat[[#This Row],[Tid]],"tt:mm:dd"))</f>
        <v>ParticipantStatus.Passed</v>
      </c>
      <c r="J101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new("U1", "Hanna Lundin", "IFK Enskede", T("00:17:12"),ParticipantStatus.Passed),</v>
      </c>
    </row>
    <row r="102" spans="1:10" x14ac:dyDescent="0.25">
      <c r="A102" t="s">
        <v>47</v>
      </c>
      <c r="B102" t="s">
        <v>150</v>
      </c>
      <c r="C102" t="s">
        <v>78</v>
      </c>
      <c r="D102" s="1">
        <v>42136.012557870374</v>
      </c>
      <c r="E102" t="s">
        <v>184</v>
      </c>
      <c r="F102" s="2">
        <f>IF(A102&lt;&gt;A101,Table_ungdomsserien2013_resultat[[#This Row],[Tid]],F101)</f>
        <v>42136.010358796295</v>
      </c>
      <c r="G102" s="2">
        <f>IF(ISNUMBER(Table_ungdomsserien2013_resultat[[#This Row],[Tid]]),Table_ungdomsserien2013_resultat[[#This Row],[Tid]]-Table_ungdomsserien2013_resultat[[#This Row],[Bästa tid]],NA())</f>
        <v>2.1990740788169205E-3</v>
      </c>
      <c r="H102">
        <f>Poäng(Table_ungdomsserien2013_resultat[[#This Row],[Klass]],Table_ungdomsserien2013_resultat[[#This Row],[Tid]],Table_ungdomsserien2013_resultat[[#This Row],[Status]],Table_ungdomsserien2013_resultat[[#This Row],[Bästa tid]])</f>
        <v>32</v>
      </c>
      <c r="I102" t="str" cm="1">
        <f t="array" ref="I102">ToStatus(Table_ungdomsserien2013_resultat[[#This Row],[Status]],TEXT(Table_ungdomsserien2013_resultat[[#This Row],[Tid]],"tt:mm:dd"))</f>
        <v>ParticipantStatus.Passed</v>
      </c>
      <c r="J102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new("U1", "Gabriel Carlqvist", "Snättringe SK", T("00:18:12"),ParticipantStatus.Passed),</v>
      </c>
    </row>
    <row r="103" spans="1:10" x14ac:dyDescent="0.25">
      <c r="A103" t="s">
        <v>47</v>
      </c>
      <c r="B103" t="s">
        <v>132</v>
      </c>
      <c r="C103" t="s">
        <v>79</v>
      </c>
      <c r="D103" s="1">
        <v>42136.012708333335</v>
      </c>
      <c r="E103" t="s">
        <v>184</v>
      </c>
      <c r="F103" s="2">
        <f>IF(A103&lt;&gt;A102,Table_ungdomsserien2013_resultat[[#This Row],[Tid]],F102)</f>
        <v>42136.010358796295</v>
      </c>
      <c r="G103" s="2">
        <f>IF(ISNUMBER(Table_ungdomsserien2013_resultat[[#This Row],[Tid]]),Table_ungdomsserien2013_resultat[[#This Row],[Tid]]-Table_ungdomsserien2013_resultat[[#This Row],[Bästa tid]],NA())</f>
        <v>2.3495370405726135E-3</v>
      </c>
      <c r="H103">
        <f>Poäng(Table_ungdomsserien2013_resultat[[#This Row],[Klass]],Table_ungdomsserien2013_resultat[[#This Row],[Tid]],Table_ungdomsserien2013_resultat[[#This Row],[Status]],Table_ungdomsserien2013_resultat[[#This Row],[Bästa tid]])</f>
        <v>32</v>
      </c>
      <c r="I103" t="str" cm="1">
        <f t="array" ref="I103">ToStatus(Table_ungdomsserien2013_resultat[[#This Row],[Status]],TEXT(Table_ungdomsserien2013_resultat[[#This Row],[Tid]],"tt:mm:dd"))</f>
        <v>ParticipantStatus.Passed</v>
      </c>
      <c r="J103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new("U1", "Isac Wester", "Haninge SOK", T("00:18:12"),ParticipantStatus.Passed),</v>
      </c>
    </row>
    <row r="104" spans="1:10" x14ac:dyDescent="0.25">
      <c r="A104" t="s">
        <v>47</v>
      </c>
      <c r="B104" t="s">
        <v>136</v>
      </c>
      <c r="C104" t="s">
        <v>88</v>
      </c>
      <c r="D104" s="1">
        <v>42136.012881944444</v>
      </c>
      <c r="E104" t="s">
        <v>184</v>
      </c>
      <c r="F104" s="2">
        <f>IF(A104&lt;&gt;A103,Table_ungdomsserien2013_resultat[[#This Row],[Tid]],F103)</f>
        <v>42136.010358796295</v>
      </c>
      <c r="G104" s="2">
        <f>IF(ISNUMBER(Table_ungdomsserien2013_resultat[[#This Row],[Tid]]),Table_ungdomsserien2013_resultat[[#This Row],[Tid]]-Table_ungdomsserien2013_resultat[[#This Row],[Bästa tid]],NA())</f>
        <v>2.5231481486116536E-3</v>
      </c>
      <c r="H104">
        <f>Poäng(Table_ungdomsserien2013_resultat[[#This Row],[Klass]],Table_ungdomsserien2013_resultat[[#This Row],[Tid]],Table_ungdomsserien2013_resultat[[#This Row],[Status]],Table_ungdomsserien2013_resultat[[#This Row],[Bästa tid]])</f>
        <v>32</v>
      </c>
      <c r="I104" t="str" cm="1">
        <f t="array" ref="I104">ToStatus(Table_ungdomsserien2013_resultat[[#This Row],[Status]],TEXT(Table_ungdomsserien2013_resultat[[#This Row],[Tid]],"tt:mm:dd"))</f>
        <v>ParticipantStatus.Passed</v>
      </c>
      <c r="J104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new("U1", "Maja Thimberg", "Söders-Tyresö", T("00:18:12"),ParticipantStatus.Passed),</v>
      </c>
    </row>
    <row r="105" spans="1:10" x14ac:dyDescent="0.25">
      <c r="A105" t="s">
        <v>47</v>
      </c>
      <c r="B105" t="s">
        <v>151</v>
      </c>
      <c r="C105" t="s">
        <v>79</v>
      </c>
      <c r="D105" s="1">
        <v>42136.013206018521</v>
      </c>
      <c r="E105" t="s">
        <v>184</v>
      </c>
      <c r="F105" s="2">
        <f>IF(A105&lt;&gt;A104,Table_ungdomsserien2013_resultat[[#This Row],[Tid]],F104)</f>
        <v>42136.010358796295</v>
      </c>
      <c r="G105" s="2">
        <f>IF(ISNUMBER(Table_ungdomsserien2013_resultat[[#This Row],[Tid]]),Table_ungdomsserien2013_resultat[[#This Row],[Tid]]-Table_ungdomsserien2013_resultat[[#This Row],[Bästa tid]],NA())</f>
        <v>2.8472222256823443E-3</v>
      </c>
      <c r="H105">
        <f>Poäng(Table_ungdomsserien2013_resultat[[#This Row],[Klass]],Table_ungdomsserien2013_resultat[[#This Row],[Tid]],Table_ungdomsserien2013_resultat[[#This Row],[Status]],Table_ungdomsserien2013_resultat[[#This Row],[Bästa tid]])</f>
        <v>30</v>
      </c>
      <c r="I105" t="str" cm="1">
        <f t="array" ref="I105">ToStatus(Table_ungdomsserien2013_resultat[[#This Row],[Status]],TEXT(Table_ungdomsserien2013_resultat[[#This Row],[Tid]],"tt:mm:dd"))</f>
        <v>ParticipantStatus.Passed</v>
      </c>
      <c r="J105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new("U1", "Elion Reimeringer", "Haninge SOK", T("00:19:12"),ParticipantStatus.Passed),</v>
      </c>
    </row>
    <row r="106" spans="1:10" x14ac:dyDescent="0.25">
      <c r="A106" t="s">
        <v>47</v>
      </c>
      <c r="B106" t="s">
        <v>153</v>
      </c>
      <c r="C106" t="s">
        <v>79</v>
      </c>
      <c r="D106" s="1">
        <v>42136.014131944445</v>
      </c>
      <c r="E106" t="s">
        <v>184</v>
      </c>
      <c r="F106" s="2">
        <f>IF(A106&lt;&gt;A105,Table_ungdomsserien2013_resultat[[#This Row],[Tid]],F105)</f>
        <v>42136.010358796295</v>
      </c>
      <c r="G106" s="2">
        <f>IF(ISNUMBER(Table_ungdomsserien2013_resultat[[#This Row],[Tid]]),Table_ungdomsserien2013_resultat[[#This Row],[Tid]]-Table_ungdomsserien2013_resultat[[#This Row],[Bästa tid]],NA())</f>
        <v>3.7731481497758068E-3</v>
      </c>
      <c r="H106">
        <f>Poäng(Table_ungdomsserien2013_resultat[[#This Row],[Klass]],Table_ungdomsserien2013_resultat[[#This Row],[Tid]],Table_ungdomsserien2013_resultat[[#This Row],[Status]],Table_ungdomsserien2013_resultat[[#This Row],[Bästa tid]])</f>
        <v>28</v>
      </c>
      <c r="I106" t="str" cm="1">
        <f t="array" ref="I106">ToStatus(Table_ungdomsserien2013_resultat[[#This Row],[Status]],TEXT(Table_ungdomsserien2013_resultat[[#This Row],[Tid]],"tt:mm:dd"))</f>
        <v>ParticipantStatus.Passed</v>
      </c>
      <c r="J106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new("U1", "Emil Brinell", "Haninge SOK", T("00:20:12"),ParticipantStatus.Passed),</v>
      </c>
    </row>
    <row r="107" spans="1:10" x14ac:dyDescent="0.25">
      <c r="A107" t="s">
        <v>47</v>
      </c>
      <c r="B107" t="s">
        <v>140</v>
      </c>
      <c r="C107" t="s">
        <v>88</v>
      </c>
      <c r="D107" s="1">
        <v>42136.014293981483</v>
      </c>
      <c r="E107" t="s">
        <v>184</v>
      </c>
      <c r="F107" s="2">
        <f>IF(A107&lt;&gt;A106,Table_ungdomsserien2013_resultat[[#This Row],[Tid]],F106)</f>
        <v>42136.010358796295</v>
      </c>
      <c r="G107" s="2">
        <f>IF(ISNUMBER(Table_ungdomsserien2013_resultat[[#This Row],[Tid]]),Table_ungdomsserien2013_resultat[[#This Row],[Tid]]-Table_ungdomsserien2013_resultat[[#This Row],[Bästa tid]],NA())</f>
        <v>3.9351851883111522E-3</v>
      </c>
      <c r="H107">
        <f>Poäng(Table_ungdomsserien2013_resultat[[#This Row],[Klass]],Table_ungdomsserien2013_resultat[[#This Row],[Tid]],Table_ungdomsserien2013_resultat[[#This Row],[Status]],Table_ungdomsserien2013_resultat[[#This Row],[Bästa tid]])</f>
        <v>28</v>
      </c>
      <c r="I107" t="str" cm="1">
        <f t="array" ref="I107">ToStatus(Table_ungdomsserien2013_resultat[[#This Row],[Status]],TEXT(Table_ungdomsserien2013_resultat[[#This Row],[Tid]],"tt:mm:dd"))</f>
        <v>ParticipantStatus.Passed</v>
      </c>
      <c r="J107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new("U1", "Anton Hedström", "Söders-Tyresö", T("00:20:12"),ParticipantStatus.Passed),</v>
      </c>
    </row>
    <row r="108" spans="1:10" x14ac:dyDescent="0.25">
      <c r="A108" t="s">
        <v>47</v>
      </c>
      <c r="B108" t="s">
        <v>138</v>
      </c>
      <c r="C108" t="s">
        <v>80</v>
      </c>
      <c r="D108" s="1">
        <v>42136.014328703706</v>
      </c>
      <c r="E108" t="s">
        <v>184</v>
      </c>
      <c r="F108" s="2">
        <f>IF(A108&lt;&gt;A107,Table_ungdomsserien2013_resultat[[#This Row],[Tid]],F107)</f>
        <v>42136.010358796295</v>
      </c>
      <c r="G108" s="2">
        <f>IF(ISNUMBER(Table_ungdomsserien2013_resultat[[#This Row],[Tid]]),Table_ungdomsserien2013_resultat[[#This Row],[Tid]]-Table_ungdomsserien2013_resultat[[#This Row],[Bästa tid]],NA())</f>
        <v>3.9699074113741517E-3</v>
      </c>
      <c r="H108">
        <f>Poäng(Table_ungdomsserien2013_resultat[[#This Row],[Klass]],Table_ungdomsserien2013_resultat[[#This Row],[Tid]],Table_ungdomsserien2013_resultat[[#This Row],[Status]],Table_ungdomsserien2013_resultat[[#This Row],[Bästa tid]])</f>
        <v>28</v>
      </c>
      <c r="I108" t="str" cm="1">
        <f t="array" ref="I108">ToStatus(Table_ungdomsserien2013_resultat[[#This Row],[Status]],TEXT(Table_ungdomsserien2013_resultat[[#This Row],[Tid]],"tt:mm:dd"))</f>
        <v>ParticipantStatus.Passed</v>
      </c>
      <c r="J108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new("U1", "Hilmar Hedin", "IFK Enskede", T("00:20:12"),ParticipantStatus.Passed),</v>
      </c>
    </row>
    <row r="109" spans="1:10" x14ac:dyDescent="0.25">
      <c r="A109" t="s">
        <v>47</v>
      </c>
      <c r="B109" t="s">
        <v>152</v>
      </c>
      <c r="C109" t="s">
        <v>79</v>
      </c>
      <c r="D109" s="1">
        <v>42136.014363425929</v>
      </c>
      <c r="E109" t="s">
        <v>184</v>
      </c>
      <c r="F109" s="2">
        <f>IF(A109&lt;&gt;A108,Table_ungdomsserien2013_resultat[[#This Row],[Tid]],F108)</f>
        <v>42136.010358796295</v>
      </c>
      <c r="G109" s="2">
        <f>IF(ISNUMBER(Table_ungdomsserien2013_resultat[[#This Row],[Tid]]),Table_ungdomsserien2013_resultat[[#This Row],[Tid]]-Table_ungdomsserien2013_resultat[[#This Row],[Bästa tid]],NA())</f>
        <v>4.0046296344371513E-3</v>
      </c>
      <c r="H109">
        <f>Poäng(Table_ungdomsserien2013_resultat[[#This Row],[Klass]],Table_ungdomsserien2013_resultat[[#This Row],[Tid]],Table_ungdomsserien2013_resultat[[#This Row],[Status]],Table_ungdomsserien2013_resultat[[#This Row],[Bästa tid]])</f>
        <v>28</v>
      </c>
      <c r="I109" t="str" cm="1">
        <f t="array" ref="I109">ToStatus(Table_ungdomsserien2013_resultat[[#This Row],[Status]],TEXT(Table_ungdomsserien2013_resultat[[#This Row],[Tid]],"tt:mm:dd"))</f>
        <v>ParticipantStatus.Passed</v>
      </c>
      <c r="J109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new("U1", "John Rudung", "Haninge SOK", T("00:20:12"),ParticipantStatus.Passed),</v>
      </c>
    </row>
    <row r="110" spans="1:10" x14ac:dyDescent="0.25">
      <c r="A110" t="s">
        <v>47</v>
      </c>
      <c r="B110" t="s">
        <v>133</v>
      </c>
      <c r="C110" t="s">
        <v>78</v>
      </c>
      <c r="D110" s="1">
        <v>42136.015057870369</v>
      </c>
      <c r="E110" t="s">
        <v>184</v>
      </c>
      <c r="F110" s="2">
        <f>IF(A110&lt;&gt;A109,Table_ungdomsserien2013_resultat[[#This Row],[Tid]],F109)</f>
        <v>42136.010358796295</v>
      </c>
      <c r="G110" s="2">
        <f>IF(ISNUMBER(Table_ungdomsserien2013_resultat[[#This Row],[Tid]]),Table_ungdomsserien2013_resultat[[#This Row],[Tid]]-Table_ungdomsserien2013_resultat[[#This Row],[Bästa tid]],NA())</f>
        <v>4.6990740738692693E-3</v>
      </c>
      <c r="H110">
        <f>Poäng(Table_ungdomsserien2013_resultat[[#This Row],[Klass]],Table_ungdomsserien2013_resultat[[#This Row],[Tid]],Table_ungdomsserien2013_resultat[[#This Row],[Status]],Table_ungdomsserien2013_resultat[[#This Row],[Bästa tid]])</f>
        <v>26</v>
      </c>
      <c r="I110" t="str" cm="1">
        <f t="array" ref="I110">ToStatus(Table_ungdomsserien2013_resultat[[#This Row],[Status]],TEXT(Table_ungdomsserien2013_resultat[[#This Row],[Tid]],"tt:mm:dd"))</f>
        <v>ParticipantStatus.Passed</v>
      </c>
      <c r="J110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new("U1", "Lukas Fujii", "Snättringe SK", T("00:21:12"),ParticipantStatus.Passed),</v>
      </c>
    </row>
    <row r="111" spans="1:10" x14ac:dyDescent="0.25">
      <c r="A111" t="s">
        <v>47</v>
      </c>
      <c r="B111" t="s">
        <v>129</v>
      </c>
      <c r="C111" t="s">
        <v>79</v>
      </c>
      <c r="D111" s="1">
        <v>42136.015335648146</v>
      </c>
      <c r="E111" t="s">
        <v>184</v>
      </c>
      <c r="F111" s="2">
        <f>IF(A111&lt;&gt;A110,Table_ungdomsserien2013_resultat[[#This Row],[Tid]],F110)</f>
        <v>42136.010358796295</v>
      </c>
      <c r="G111" s="2">
        <f>IF(ISNUMBER(Table_ungdomsserien2013_resultat[[#This Row],[Tid]]),Table_ungdomsserien2013_resultat[[#This Row],[Tid]]-Table_ungdomsserien2013_resultat[[#This Row],[Bästa tid]],NA())</f>
        <v>4.9768518510973081E-3</v>
      </c>
      <c r="H111">
        <f>Poäng(Table_ungdomsserien2013_resultat[[#This Row],[Klass]],Table_ungdomsserien2013_resultat[[#This Row],[Tid]],Table_ungdomsserien2013_resultat[[#This Row],[Status]],Table_ungdomsserien2013_resultat[[#This Row],[Bästa tid]])</f>
        <v>24</v>
      </c>
      <c r="I111" t="str" cm="1">
        <f t="array" ref="I111">ToStatus(Table_ungdomsserien2013_resultat[[#This Row],[Status]],TEXT(Table_ungdomsserien2013_resultat[[#This Row],[Tid]],"tt:mm:dd"))</f>
        <v>ParticipantStatus.Passed</v>
      </c>
      <c r="J111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new("U1", "Edvin Söderlund", "Haninge SOK", T("00:22:12"),ParticipantStatus.Passed),</v>
      </c>
    </row>
    <row r="112" spans="1:10" x14ac:dyDescent="0.25">
      <c r="A112" t="s">
        <v>47</v>
      </c>
      <c r="B112" t="s">
        <v>182</v>
      </c>
      <c r="C112" t="s">
        <v>80</v>
      </c>
      <c r="D112" s="1">
        <v>42136.015682870369</v>
      </c>
      <c r="E112" t="s">
        <v>184</v>
      </c>
      <c r="F112" s="2">
        <f>IF(A112&lt;&gt;A111,Table_ungdomsserien2013_resultat[[#This Row],[Tid]],F111)</f>
        <v>42136.010358796295</v>
      </c>
      <c r="G112" s="2">
        <f>IF(ISNUMBER(Table_ungdomsserien2013_resultat[[#This Row],[Tid]]),Table_ungdomsserien2013_resultat[[#This Row],[Tid]]-Table_ungdomsserien2013_resultat[[#This Row],[Bästa tid]],NA())</f>
        <v>5.324074074451346E-3</v>
      </c>
      <c r="H112">
        <f>Poäng(Table_ungdomsserien2013_resultat[[#This Row],[Klass]],Table_ungdomsserien2013_resultat[[#This Row],[Tid]],Table_ungdomsserien2013_resultat[[#This Row],[Status]],Table_ungdomsserien2013_resultat[[#This Row],[Bästa tid]])</f>
        <v>24</v>
      </c>
      <c r="I112" t="str" cm="1">
        <f t="array" ref="I112">ToStatus(Table_ungdomsserien2013_resultat[[#This Row],[Status]],TEXT(Table_ungdomsserien2013_resultat[[#This Row],[Tid]],"tt:mm:dd"))</f>
        <v>ParticipantStatus.Passed</v>
      </c>
      <c r="J112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new("U1", "Smilla Green", "IFK Enskede", T("00:22:12"),ParticipantStatus.Passed),</v>
      </c>
    </row>
    <row r="113" spans="1:10" x14ac:dyDescent="0.25">
      <c r="A113" t="s">
        <v>47</v>
      </c>
      <c r="B113" t="s">
        <v>156</v>
      </c>
      <c r="C113" t="s">
        <v>79</v>
      </c>
      <c r="D113" s="1">
        <v>42136.015706018516</v>
      </c>
      <c r="E113" t="s">
        <v>184</v>
      </c>
      <c r="F113" s="2">
        <f>IF(A113&lt;&gt;A112,Table_ungdomsserien2013_resultat[[#This Row],[Tid]],F112)</f>
        <v>42136.010358796295</v>
      </c>
      <c r="G113" s="2">
        <f>IF(ISNUMBER(Table_ungdomsserien2013_resultat[[#This Row],[Tid]]),Table_ungdomsserien2013_resultat[[#This Row],[Tid]]-Table_ungdomsserien2013_resultat[[#This Row],[Bästa tid]],NA())</f>
        <v>5.3472222207346931E-3</v>
      </c>
      <c r="H113">
        <f>Poäng(Table_ungdomsserien2013_resultat[[#This Row],[Klass]],Table_ungdomsserien2013_resultat[[#This Row],[Tid]],Table_ungdomsserien2013_resultat[[#This Row],[Status]],Table_ungdomsserien2013_resultat[[#This Row],[Bästa tid]])</f>
        <v>24</v>
      </c>
      <c r="I113" t="str" cm="1">
        <f t="array" ref="I113">ToStatus(Table_ungdomsserien2013_resultat[[#This Row],[Status]],TEXT(Table_ungdomsserien2013_resultat[[#This Row],[Tid]],"tt:mm:dd"))</f>
        <v>ParticipantStatus.Passed</v>
      </c>
      <c r="J113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new("U1", "Morgan Mäkelä", "Haninge SOK", T("00:22:12"),ParticipantStatus.Passed),</v>
      </c>
    </row>
    <row r="114" spans="1:10" x14ac:dyDescent="0.25">
      <c r="A114" t="s">
        <v>47</v>
      </c>
      <c r="B114" t="s">
        <v>141</v>
      </c>
      <c r="C114" t="s">
        <v>78</v>
      </c>
      <c r="D114" s="1">
        <v>42136.015868055554</v>
      </c>
      <c r="E114" t="s">
        <v>184</v>
      </c>
      <c r="F114" s="2">
        <f>IF(A114&lt;&gt;A113,Table_ungdomsserien2013_resultat[[#This Row],[Tid]],F113)</f>
        <v>42136.010358796295</v>
      </c>
      <c r="G114" s="2">
        <f>IF(ISNUMBER(Table_ungdomsserien2013_resultat[[#This Row],[Tid]]),Table_ungdomsserien2013_resultat[[#This Row],[Tid]]-Table_ungdomsserien2013_resultat[[#This Row],[Bästa tid]],NA())</f>
        <v>5.5092592592700385E-3</v>
      </c>
      <c r="H114">
        <f>Poäng(Table_ungdomsserien2013_resultat[[#This Row],[Klass]],Table_ungdomsserien2013_resultat[[#This Row],[Tid]],Table_ungdomsserien2013_resultat[[#This Row],[Status]],Table_ungdomsserien2013_resultat[[#This Row],[Bästa tid]])</f>
        <v>24</v>
      </c>
      <c r="I114" t="str" cm="1">
        <f t="array" ref="I114">ToStatus(Table_ungdomsserien2013_resultat[[#This Row],[Status]],TEXT(Table_ungdomsserien2013_resultat[[#This Row],[Tid]],"tt:mm:dd"))</f>
        <v>ParticipantStatus.Passed</v>
      </c>
      <c r="J114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new("U1", "Anna Boström", "Snättringe SK", T("00:22:12"),ParticipantStatus.Passed),</v>
      </c>
    </row>
    <row r="115" spans="1:10" x14ac:dyDescent="0.25">
      <c r="A115" t="s">
        <v>47</v>
      </c>
      <c r="B115" t="s">
        <v>143</v>
      </c>
      <c r="C115" t="s">
        <v>80</v>
      </c>
      <c r="D115" s="1">
        <v>42136.016574074078</v>
      </c>
      <c r="E115" t="s">
        <v>184</v>
      </c>
      <c r="F115" s="2">
        <f>IF(A115&lt;&gt;A114,Table_ungdomsserien2013_resultat[[#This Row],[Tid]],F114)</f>
        <v>42136.010358796295</v>
      </c>
      <c r="G115" s="2">
        <f>IF(ISNUMBER(Table_ungdomsserien2013_resultat[[#This Row],[Tid]]),Table_ungdomsserien2013_resultat[[#This Row],[Tid]]-Table_ungdomsserien2013_resultat[[#This Row],[Bästa tid]],NA())</f>
        <v>6.2152777827577665E-3</v>
      </c>
      <c r="H115">
        <f>Poäng(Table_ungdomsserien2013_resultat[[#This Row],[Klass]],Table_ungdomsserien2013_resultat[[#This Row],[Tid]],Table_ungdomsserien2013_resultat[[#This Row],[Status]],Table_ungdomsserien2013_resultat[[#This Row],[Bästa tid]])</f>
        <v>22</v>
      </c>
      <c r="I115" t="str" cm="1">
        <f t="array" ref="I115">ToStatus(Table_ungdomsserien2013_resultat[[#This Row],[Status]],TEXT(Table_ungdomsserien2013_resultat[[#This Row],[Tid]],"tt:mm:dd"))</f>
        <v>ParticipantStatus.Passed</v>
      </c>
      <c r="J115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new("U1", "Elin Lindhagen", "IFK Enskede", T("00:23:12"),ParticipantStatus.Passed),</v>
      </c>
    </row>
    <row r="116" spans="1:10" x14ac:dyDescent="0.25">
      <c r="A116" t="s">
        <v>47</v>
      </c>
      <c r="B116" t="s">
        <v>130</v>
      </c>
      <c r="C116" t="s">
        <v>79</v>
      </c>
      <c r="D116" s="1">
        <v>42136.016701388886</v>
      </c>
      <c r="E116" t="s">
        <v>184</v>
      </c>
      <c r="F116" s="2">
        <f>IF(A116&lt;&gt;A115,Table_ungdomsserien2013_resultat[[#This Row],[Tid]],F115)</f>
        <v>42136.010358796295</v>
      </c>
      <c r="G116" s="2">
        <f>IF(ISNUMBER(Table_ungdomsserien2013_resultat[[#This Row],[Tid]]),Table_ungdomsserien2013_resultat[[#This Row],[Tid]]-Table_ungdomsserien2013_resultat[[#This Row],[Bästa tid]],NA())</f>
        <v>6.3425925909541547E-3</v>
      </c>
      <c r="H116">
        <f>Poäng(Table_ungdomsserien2013_resultat[[#This Row],[Klass]],Table_ungdomsserien2013_resultat[[#This Row],[Tid]],Table_ungdomsserien2013_resultat[[#This Row],[Status]],Table_ungdomsserien2013_resultat[[#This Row],[Bästa tid]])</f>
        <v>20</v>
      </c>
      <c r="I116" t="str" cm="1">
        <f t="array" ref="I116">ToStatus(Table_ungdomsserien2013_resultat[[#This Row],[Status]],TEXT(Table_ungdomsserien2013_resultat[[#This Row],[Tid]],"tt:mm:dd"))</f>
        <v>ParticipantStatus.Passed</v>
      </c>
      <c r="J116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new("U1", "Thea Söderlund", "Haninge SOK", T("00:24:12"),ParticipantStatus.Passed),</v>
      </c>
    </row>
    <row r="117" spans="1:10" x14ac:dyDescent="0.25">
      <c r="A117" t="s">
        <v>47</v>
      </c>
      <c r="B117" t="s">
        <v>139</v>
      </c>
      <c r="C117" t="s">
        <v>78</v>
      </c>
      <c r="D117" s="1">
        <v>42136.016956018517</v>
      </c>
      <c r="E117" t="s">
        <v>184</v>
      </c>
      <c r="F117" s="2">
        <f>IF(A117&lt;&gt;A116,Table_ungdomsserien2013_resultat[[#This Row],[Tid]],F116)</f>
        <v>42136.010358796295</v>
      </c>
      <c r="G117" s="2">
        <f>IF(ISNUMBER(Table_ungdomsserien2013_resultat[[#This Row],[Tid]]),Table_ungdomsserien2013_resultat[[#This Row],[Tid]]-Table_ungdomsserien2013_resultat[[#This Row],[Bästa tid]],NA())</f>
        <v>6.5972222218988463E-3</v>
      </c>
      <c r="H117">
        <f>Poäng(Table_ungdomsserien2013_resultat[[#This Row],[Klass]],Table_ungdomsserien2013_resultat[[#This Row],[Tid]],Table_ungdomsserien2013_resultat[[#This Row],[Status]],Table_ungdomsserien2013_resultat[[#This Row],[Bästa tid]])</f>
        <v>20</v>
      </c>
      <c r="I117" t="str" cm="1">
        <f t="array" ref="I117">ToStatus(Table_ungdomsserien2013_resultat[[#This Row],[Status]],TEXT(Table_ungdomsserien2013_resultat[[#This Row],[Tid]],"tt:mm:dd"))</f>
        <v>ParticipantStatus.Passed</v>
      </c>
      <c r="J117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new("U1", "Cornelia Hagström", "Snättringe SK", T("00:24:12"),ParticipantStatus.Passed),</v>
      </c>
    </row>
    <row r="118" spans="1:10" x14ac:dyDescent="0.25">
      <c r="A118" t="s">
        <v>47</v>
      </c>
      <c r="B118" t="s">
        <v>144</v>
      </c>
      <c r="C118" t="s">
        <v>78</v>
      </c>
      <c r="D118" s="1">
        <v>42136.018229166664</v>
      </c>
      <c r="E118" t="s">
        <v>184</v>
      </c>
      <c r="F118" s="2">
        <f>IF(A118&lt;&gt;A117,Table_ungdomsserien2013_resultat[[#This Row],[Tid]],F117)</f>
        <v>42136.010358796295</v>
      </c>
      <c r="G118" s="2">
        <f>IF(ISNUMBER(Table_ungdomsserien2013_resultat[[#This Row],[Tid]]),Table_ungdomsserien2013_resultat[[#This Row],[Tid]]-Table_ungdomsserien2013_resultat[[#This Row],[Bästa tid]],NA())</f>
        <v>7.8703703693463467E-3</v>
      </c>
      <c r="H118">
        <f>Poäng(Table_ungdomsserien2013_resultat[[#This Row],[Klass]],Table_ungdomsserien2013_resultat[[#This Row],[Tid]],Table_ungdomsserien2013_resultat[[#This Row],[Status]],Table_ungdomsserien2013_resultat[[#This Row],[Bästa tid]])</f>
        <v>16</v>
      </c>
      <c r="I118" t="str" cm="1">
        <f t="array" ref="I118">ToStatus(Table_ungdomsserien2013_resultat[[#This Row],[Status]],TEXT(Table_ungdomsserien2013_resultat[[#This Row],[Tid]],"tt:mm:dd"))</f>
        <v>ParticipantStatus.Passed</v>
      </c>
      <c r="J118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new("U1", "Anna Gredenhag", "Snättringe SK", T("00:26:12"),ParticipantStatus.Passed),</v>
      </c>
    </row>
    <row r="119" spans="1:10" x14ac:dyDescent="0.25">
      <c r="A119" t="s">
        <v>47</v>
      </c>
      <c r="B119" t="s">
        <v>45</v>
      </c>
      <c r="C119" t="s">
        <v>78</v>
      </c>
      <c r="D119" s="1">
        <v>42136.018240740741</v>
      </c>
      <c r="E119" t="s">
        <v>184</v>
      </c>
      <c r="F119" s="2">
        <f>IF(A119&lt;&gt;A118,Table_ungdomsserien2013_resultat[[#This Row],[Tid]],F118)</f>
        <v>42136.010358796295</v>
      </c>
      <c r="G119" s="2">
        <f>IF(ISNUMBER(Table_ungdomsserien2013_resultat[[#This Row],[Tid]]),Table_ungdomsserien2013_resultat[[#This Row],[Tid]]-Table_ungdomsserien2013_resultat[[#This Row],[Bästa tid]],NA())</f>
        <v>7.8819444461259991E-3</v>
      </c>
      <c r="H119">
        <f>Poäng(Table_ungdomsserien2013_resultat[[#This Row],[Klass]],Table_ungdomsserien2013_resultat[[#This Row],[Tid]],Table_ungdomsserien2013_resultat[[#This Row],[Status]],Table_ungdomsserien2013_resultat[[#This Row],[Bästa tid]])</f>
        <v>16</v>
      </c>
      <c r="I119" t="str" cm="1">
        <f t="array" ref="I119">ToStatus(Table_ungdomsserien2013_resultat[[#This Row],[Status]],TEXT(Table_ungdomsserien2013_resultat[[#This Row],[Tid]],"tt:mm:dd"))</f>
        <v>ParticipantStatus.Passed</v>
      </c>
      <c r="J119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new("U1", "Thea Gelius", "Snättringe SK", T("00:26:12"),ParticipantStatus.Passed),</v>
      </c>
    </row>
    <row r="120" spans="1:10" x14ac:dyDescent="0.25">
      <c r="A120" t="s">
        <v>47</v>
      </c>
      <c r="B120" t="s">
        <v>147</v>
      </c>
      <c r="C120" t="s">
        <v>79</v>
      </c>
      <c r="D120" s="1">
        <v>42136.018576388888</v>
      </c>
      <c r="E120" t="s">
        <v>184</v>
      </c>
      <c r="F120" s="2">
        <f>IF(A120&lt;&gt;A119,Table_ungdomsserien2013_resultat[[#This Row],[Tid]],F119)</f>
        <v>42136.010358796295</v>
      </c>
      <c r="G120" s="2">
        <f>IF(ISNUMBER(Table_ungdomsserien2013_resultat[[#This Row],[Tid]]),Table_ungdomsserien2013_resultat[[#This Row],[Tid]]-Table_ungdomsserien2013_resultat[[#This Row],[Bästa tid]],NA())</f>
        <v>8.2175925927003846E-3</v>
      </c>
      <c r="H120">
        <f>Poäng(Table_ungdomsserien2013_resultat[[#This Row],[Klass]],Table_ungdomsserien2013_resultat[[#This Row],[Tid]],Table_ungdomsserien2013_resultat[[#This Row],[Status]],Table_ungdomsserien2013_resultat[[#This Row],[Bästa tid]])</f>
        <v>16</v>
      </c>
      <c r="I120" t="str" cm="1">
        <f t="array" ref="I120">ToStatus(Table_ungdomsserien2013_resultat[[#This Row],[Status]],TEXT(Table_ungdomsserien2013_resultat[[#This Row],[Tid]],"tt:mm:dd"))</f>
        <v>ParticipantStatus.Passed</v>
      </c>
      <c r="J120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new("U1", "Emma Källman", "Haninge SOK", T("00:26:12"),ParticipantStatus.Passed),</v>
      </c>
    </row>
    <row r="121" spans="1:10" x14ac:dyDescent="0.25">
      <c r="A121" t="s">
        <v>47</v>
      </c>
      <c r="B121" t="s">
        <v>154</v>
      </c>
      <c r="C121" t="s">
        <v>79</v>
      </c>
      <c r="D121" s="1">
        <v>42136.018599537034</v>
      </c>
      <c r="E121" t="s">
        <v>184</v>
      </c>
      <c r="F121" s="2">
        <f>IF(A121&lt;&gt;A120,Table_ungdomsserien2013_resultat[[#This Row],[Tid]],F120)</f>
        <v>42136.010358796295</v>
      </c>
      <c r="G121" s="2">
        <f>IF(ISNUMBER(Table_ungdomsserien2013_resultat[[#This Row],[Tid]]),Table_ungdomsserien2013_resultat[[#This Row],[Tid]]-Table_ungdomsserien2013_resultat[[#This Row],[Bästa tid]],NA())</f>
        <v>8.2407407389837317E-3</v>
      </c>
      <c r="H121">
        <f>Poäng(Table_ungdomsserien2013_resultat[[#This Row],[Klass]],Table_ungdomsserien2013_resultat[[#This Row],[Tid]],Table_ungdomsserien2013_resultat[[#This Row],[Status]],Table_ungdomsserien2013_resultat[[#This Row],[Bästa tid]])</f>
        <v>16</v>
      </c>
      <c r="I121" t="str" cm="1">
        <f t="array" ref="I121">ToStatus(Table_ungdomsserien2013_resultat[[#This Row],[Status]],TEXT(Table_ungdomsserien2013_resultat[[#This Row],[Tid]],"tt:mm:dd"))</f>
        <v>ParticipantStatus.Passed</v>
      </c>
      <c r="J121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new("U1", "Emilia Wikstrand", "Haninge SOK", T("00:26:12"),ParticipantStatus.Passed),</v>
      </c>
    </row>
    <row r="122" spans="1:10" x14ac:dyDescent="0.25">
      <c r="A122" t="s">
        <v>47</v>
      </c>
      <c r="B122" t="s">
        <v>146</v>
      </c>
      <c r="C122" t="s">
        <v>88</v>
      </c>
      <c r="D122" s="1">
        <v>42136.019189814811</v>
      </c>
      <c r="E122" t="s">
        <v>184</v>
      </c>
      <c r="F122" s="2">
        <f>IF(A122&lt;&gt;A121,Table_ungdomsserien2013_resultat[[#This Row],[Tid]],F121)</f>
        <v>42136.010358796295</v>
      </c>
      <c r="G122" s="2">
        <f>IF(ISNUMBER(Table_ungdomsserien2013_resultat[[#This Row],[Tid]]),Table_ungdomsserien2013_resultat[[#This Row],[Tid]]-Table_ungdomsserien2013_resultat[[#This Row],[Bästa tid]],NA())</f>
        <v>8.8310185165028088E-3</v>
      </c>
      <c r="H122">
        <f>Poäng(Table_ungdomsserien2013_resultat[[#This Row],[Klass]],Table_ungdomsserien2013_resultat[[#This Row],[Tid]],Table_ungdomsserien2013_resultat[[#This Row],[Status]],Table_ungdomsserien2013_resultat[[#This Row],[Bästa tid]])</f>
        <v>14</v>
      </c>
      <c r="I122" t="str" cm="1">
        <f t="array" ref="I122">ToStatus(Table_ungdomsserien2013_resultat[[#This Row],[Status]],TEXT(Table_ungdomsserien2013_resultat[[#This Row],[Tid]],"tt:mm:dd"))</f>
        <v>ParticipantStatus.Passed</v>
      </c>
      <c r="J122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new("U1", "Alfred Wahren", "Söders-Tyresö", T("00:27:12"),ParticipantStatus.Passed),</v>
      </c>
    </row>
    <row r="123" spans="1:10" x14ac:dyDescent="0.25">
      <c r="A123" t="s">
        <v>47</v>
      </c>
      <c r="B123" t="s">
        <v>148</v>
      </c>
      <c r="C123" t="s">
        <v>78</v>
      </c>
      <c r="D123" s="1">
        <v>42136.023125</v>
      </c>
      <c r="E123" t="s">
        <v>184</v>
      </c>
      <c r="F123" s="2">
        <f>IF(A123&lt;&gt;A122,Table_ungdomsserien2013_resultat[[#This Row],[Tid]],F122)</f>
        <v>42136.010358796295</v>
      </c>
      <c r="G123" s="2">
        <f>IF(ISNUMBER(Table_ungdomsserien2013_resultat[[#This Row],[Tid]]),Table_ungdomsserien2013_resultat[[#This Row],[Tid]]-Table_ungdomsserien2013_resultat[[#This Row],[Bästa tid]],NA())</f>
        <v>1.2766203704813961E-2</v>
      </c>
      <c r="H123">
        <f>Poäng(Table_ungdomsserien2013_resultat[[#This Row],[Klass]],Table_ungdomsserien2013_resultat[[#This Row],[Tid]],Table_ungdomsserien2013_resultat[[#This Row],[Status]],Table_ungdomsserien2013_resultat[[#This Row],[Bästa tid]])</f>
        <v>10</v>
      </c>
      <c r="I123" t="str" cm="1">
        <f t="array" ref="I123">ToStatus(Table_ungdomsserien2013_resultat[[#This Row],[Status]],TEXT(Table_ungdomsserien2013_resultat[[#This Row],[Tid]],"tt:mm:dd"))</f>
        <v>ParticipantStatus.Passed</v>
      </c>
      <c r="J123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new("U1", "Ludvig Rosendahl", "Snättringe SK", T("00:33:12"),ParticipantStatus.Passed),</v>
      </c>
    </row>
    <row r="124" spans="1:10" x14ac:dyDescent="0.25">
      <c r="A124" t="s">
        <v>47</v>
      </c>
      <c r="B124" t="s">
        <v>149</v>
      </c>
      <c r="C124" t="s">
        <v>80</v>
      </c>
      <c r="D124" s="1">
        <v>42136.023923611108</v>
      </c>
      <c r="E124" t="s">
        <v>184</v>
      </c>
      <c r="F124" s="2">
        <f>IF(A124&lt;&gt;A123,Table_ungdomsserien2013_resultat[[#This Row],[Tid]],F123)</f>
        <v>42136.010358796295</v>
      </c>
      <c r="G124" s="2">
        <f>IF(ISNUMBER(Table_ungdomsserien2013_resultat[[#This Row],[Tid]]),Table_ungdomsserien2013_resultat[[#This Row],[Tid]]-Table_ungdomsserien2013_resultat[[#This Row],[Bästa tid]],NA())</f>
        <v>1.3564814813435078E-2</v>
      </c>
      <c r="H124">
        <f>Poäng(Table_ungdomsserien2013_resultat[[#This Row],[Klass]],Table_ungdomsserien2013_resultat[[#This Row],[Tid]],Table_ungdomsserien2013_resultat[[#This Row],[Status]],Table_ungdomsserien2013_resultat[[#This Row],[Bästa tid]])</f>
        <v>10</v>
      </c>
      <c r="I124" t="str" cm="1">
        <f t="array" ref="I124">ToStatus(Table_ungdomsserien2013_resultat[[#This Row],[Status]],TEXT(Table_ungdomsserien2013_resultat[[#This Row],[Tid]],"tt:mm:dd"))</f>
        <v>ParticipantStatus.Passed</v>
      </c>
      <c r="J124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new("U1", "Molly Green", "IFK Enskede", T("00:34:12"),ParticipantStatus.Passed),</v>
      </c>
    </row>
    <row r="125" spans="1:10" x14ac:dyDescent="0.25">
      <c r="A125" t="s">
        <v>47</v>
      </c>
      <c r="B125" t="s">
        <v>131</v>
      </c>
      <c r="C125" t="s">
        <v>78</v>
      </c>
      <c r="D125" s="1"/>
      <c r="E125" t="s">
        <v>185</v>
      </c>
      <c r="F125" s="2">
        <f>IF(A125&lt;&gt;A124,Table_ungdomsserien2013_resultat[[#This Row],[Tid]],F124)</f>
        <v>42136.010358796295</v>
      </c>
      <c r="G125" s="2" t="e">
        <f>IF(ISNUMBER(Table_ungdomsserien2013_resultat[[#This Row],[Tid]]),Table_ungdomsserien2013_resultat[[#This Row],[Tid]]-Table_ungdomsserien2013_resultat[[#This Row],[Bästa tid]],NA())</f>
        <v>#N/A</v>
      </c>
      <c r="H125">
        <f>Poäng(Table_ungdomsserien2013_resultat[[#This Row],[Klass]],Table_ungdomsserien2013_resultat[[#This Row],[Tid]],Table_ungdomsserien2013_resultat[[#This Row],[Status]],Table_ungdomsserien2013_resultat[[#This Row],[Bästa tid]])</f>
        <v>5</v>
      </c>
      <c r="I125" t="str" cm="1">
        <f t="array" ref="I125">ToStatus(Table_ungdomsserien2013_resultat[[#This Row],[Status]],TEXT(Table_ungdomsserien2013_resultat[[#This Row],[Tid]],"tt:mm:dd"))</f>
        <v>ParticipantStatus.Started</v>
      </c>
      <c r="J125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new("U1", "Wilma Fredholm", "Snättringe SK", T("00:00:00"),ParticipantStatus.Started),</v>
      </c>
    </row>
    <row r="126" spans="1:10" x14ac:dyDescent="0.25">
      <c r="A126" t="s">
        <v>47</v>
      </c>
      <c r="B126" t="s">
        <v>142</v>
      </c>
      <c r="C126" t="s">
        <v>80</v>
      </c>
      <c r="D126" s="1"/>
      <c r="E126" t="s">
        <v>185</v>
      </c>
      <c r="F126" s="2">
        <f>IF(A126&lt;&gt;A125,Table_ungdomsserien2013_resultat[[#This Row],[Tid]],F125)</f>
        <v>42136.010358796295</v>
      </c>
      <c r="G126" s="2" t="e">
        <f>IF(ISNUMBER(Table_ungdomsserien2013_resultat[[#This Row],[Tid]]),Table_ungdomsserien2013_resultat[[#This Row],[Tid]]-Table_ungdomsserien2013_resultat[[#This Row],[Bästa tid]],NA())</f>
        <v>#N/A</v>
      </c>
      <c r="H126">
        <f>Poäng(Table_ungdomsserien2013_resultat[[#This Row],[Klass]],Table_ungdomsserien2013_resultat[[#This Row],[Tid]],Table_ungdomsserien2013_resultat[[#This Row],[Status]],Table_ungdomsserien2013_resultat[[#This Row],[Bästa tid]])</f>
        <v>5</v>
      </c>
      <c r="I126" t="str" cm="1">
        <f t="array" ref="I126">ToStatus(Table_ungdomsserien2013_resultat[[#This Row],[Status]],TEXT(Table_ungdomsserien2013_resultat[[#This Row],[Tid]],"tt:mm:dd"))</f>
        <v>ParticipantStatus.Started</v>
      </c>
      <c r="J126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new("U1", "Albert Mührer", "IFK Enskede", T("00:00:00"),ParticipantStatus.Started),</v>
      </c>
    </row>
    <row r="127" spans="1:10" x14ac:dyDescent="0.25">
      <c r="A127" t="s">
        <v>47</v>
      </c>
      <c r="B127" t="s">
        <v>155</v>
      </c>
      <c r="C127" t="s">
        <v>79</v>
      </c>
      <c r="D127" s="1"/>
      <c r="E127" t="s">
        <v>187</v>
      </c>
      <c r="F127" s="2">
        <f>IF(A127&lt;&gt;A126,Table_ungdomsserien2013_resultat[[#This Row],[Tid]],F126)</f>
        <v>42136.010358796295</v>
      </c>
      <c r="G127" s="2" t="e">
        <f>IF(ISNUMBER(Table_ungdomsserien2013_resultat[[#This Row],[Tid]]),Table_ungdomsserien2013_resultat[[#This Row],[Tid]]-Table_ungdomsserien2013_resultat[[#This Row],[Bästa tid]],NA())</f>
        <v>#N/A</v>
      </c>
      <c r="H127">
        <f>Poäng(Table_ungdomsserien2013_resultat[[#This Row],[Klass]],Table_ungdomsserien2013_resultat[[#This Row],[Tid]],Table_ungdomsserien2013_resultat[[#This Row],[Status]],Table_ungdomsserien2013_resultat[[#This Row],[Bästa tid]])</f>
        <v>0</v>
      </c>
      <c r="I127" t="str" cm="1">
        <f t="array" ref="I127">ToStatus(Table_ungdomsserien2013_resultat[[#This Row],[Status]],TEXT(Table_ungdomsserien2013_resultat[[#This Row],[Tid]],"tt:mm:dd"))</f>
        <v>ParticipantStatus.NotStarted</v>
      </c>
      <c r="J127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new("U1", "Linus Nilevi", "Haninge SOK", T("00:00:00"),ParticipantStatus.NotStarted),</v>
      </c>
    </row>
    <row r="128" spans="1:10" x14ac:dyDescent="0.25">
      <c r="A128" t="s">
        <v>47</v>
      </c>
      <c r="B128" t="s">
        <v>56</v>
      </c>
      <c r="C128" t="s">
        <v>79</v>
      </c>
      <c r="D128" s="1"/>
      <c r="E128" t="s">
        <v>187</v>
      </c>
      <c r="F128" s="2">
        <f>IF(A128&lt;&gt;A127,Table_ungdomsserien2013_resultat[[#This Row],[Tid]],F127)</f>
        <v>42136.010358796295</v>
      </c>
      <c r="G128" s="2" t="e">
        <f>IF(ISNUMBER(Table_ungdomsserien2013_resultat[[#This Row],[Tid]]),Table_ungdomsserien2013_resultat[[#This Row],[Tid]]-Table_ungdomsserien2013_resultat[[#This Row],[Bästa tid]],NA())</f>
        <v>#N/A</v>
      </c>
      <c r="H128">
        <f>Poäng(Table_ungdomsserien2013_resultat[[#This Row],[Klass]],Table_ungdomsserien2013_resultat[[#This Row],[Tid]],Table_ungdomsserien2013_resultat[[#This Row],[Status]],Table_ungdomsserien2013_resultat[[#This Row],[Bästa tid]])</f>
        <v>0</v>
      </c>
      <c r="I128" t="str" cm="1">
        <f t="array" ref="I128">ToStatus(Table_ungdomsserien2013_resultat[[#This Row],[Status]],TEXT(Table_ungdomsserien2013_resultat[[#This Row],[Tid]],"tt:mm:dd"))</f>
        <v>ParticipantStatus.NotStarted</v>
      </c>
      <c r="J128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new("U1", "Elin Theander", "Haninge SOK", T("00:00:00"),ParticipantStatus.NotStarted),</v>
      </c>
    </row>
    <row r="129" spans="1:10" x14ac:dyDescent="0.25">
      <c r="A129" t="s">
        <v>63</v>
      </c>
      <c r="B129" t="s">
        <v>163</v>
      </c>
      <c r="C129" t="s">
        <v>78</v>
      </c>
      <c r="D129" s="1">
        <v>42136.013194444444</v>
      </c>
      <c r="E129" t="s">
        <v>184</v>
      </c>
      <c r="F129" s="2">
        <f>IF(A129&lt;&gt;A128,Table_ungdomsserien2013_resultat[[#This Row],[Tid]],F128)</f>
        <v>42136.013194444444</v>
      </c>
      <c r="G129" s="2">
        <f>IF(ISNUMBER(Table_ungdomsserien2013_resultat[[#This Row],[Tid]]),Table_ungdomsserien2013_resultat[[#This Row],[Tid]]-Table_ungdomsserien2013_resultat[[#This Row],[Bästa tid]],NA())</f>
        <v>0</v>
      </c>
      <c r="H129">
        <f>Poäng(Table_ungdomsserien2013_resultat[[#This Row],[Klass]],Table_ungdomsserien2013_resultat[[#This Row],[Tid]],Table_ungdomsserien2013_resultat[[#This Row],[Status]],Table_ungdomsserien2013_resultat[[#This Row],[Bästa tid]])</f>
        <v>40</v>
      </c>
      <c r="I129" t="str" cm="1">
        <f t="array" ref="I129">ToStatus(Table_ungdomsserien2013_resultat[[#This Row],[Status]],TEXT(Table_ungdomsserien2013_resultat[[#This Row],[Tid]],"tt:mm:dd"))</f>
        <v>ParticipantStatus.Passed</v>
      </c>
      <c r="J129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new("U2", "Ludvig Nord", "Snättringe SK", T("00:19:12"),ParticipantStatus.Passed),</v>
      </c>
    </row>
    <row r="130" spans="1:10" x14ac:dyDescent="0.25">
      <c r="A130" t="s">
        <v>63</v>
      </c>
      <c r="B130" t="s">
        <v>158</v>
      </c>
      <c r="C130" t="s">
        <v>88</v>
      </c>
      <c r="D130" s="1">
        <v>42136.014791666668</v>
      </c>
      <c r="E130" t="s">
        <v>184</v>
      </c>
      <c r="F130" s="2">
        <f>IF(A130&lt;&gt;A129,Table_ungdomsserien2013_resultat[[#This Row],[Tid]],F129)</f>
        <v>42136.013194444444</v>
      </c>
      <c r="G130" s="2">
        <f>IF(ISNUMBER(Table_ungdomsserien2013_resultat[[#This Row],[Tid]]),Table_ungdomsserien2013_resultat[[#This Row],[Tid]]-Table_ungdomsserien2013_resultat[[#This Row],[Bästa tid]],NA())</f>
        <v>1.5972222245181911E-3</v>
      </c>
      <c r="H130">
        <f>Poäng(Table_ungdomsserien2013_resultat[[#This Row],[Klass]],Table_ungdomsserien2013_resultat[[#This Row],[Tid]],Table_ungdomsserien2013_resultat[[#This Row],[Status]],Table_ungdomsserien2013_resultat[[#This Row],[Bästa tid]])</f>
        <v>34</v>
      </c>
      <c r="I130" t="str" cm="1">
        <f t="array" ref="I130">ToStatus(Table_ungdomsserien2013_resultat[[#This Row],[Status]],TEXT(Table_ungdomsserien2013_resultat[[#This Row],[Tid]],"tt:mm:dd"))</f>
        <v>ParticipantStatus.Passed</v>
      </c>
      <c r="J130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new("U2", "Joel Ljungberg", "Söders-Tyresö", T("00:21:12"),ParticipantStatus.Passed),</v>
      </c>
    </row>
    <row r="131" spans="1:10" x14ac:dyDescent="0.25">
      <c r="A131" t="s">
        <v>63</v>
      </c>
      <c r="B131" t="s">
        <v>167</v>
      </c>
      <c r="C131" t="s">
        <v>79</v>
      </c>
      <c r="D131" s="1">
        <v>42136.014918981484</v>
      </c>
      <c r="E131" t="s">
        <v>184</v>
      </c>
      <c r="F131" s="2">
        <f>IF(A131&lt;&gt;A130,Table_ungdomsserien2013_resultat[[#This Row],[Tid]],F130)</f>
        <v>42136.013194444444</v>
      </c>
      <c r="G131" s="2">
        <f>IF(ISNUMBER(Table_ungdomsserien2013_resultat[[#This Row],[Tid]]),Table_ungdomsserien2013_resultat[[#This Row],[Tid]]-Table_ungdomsserien2013_resultat[[#This Row],[Bästa tid]],NA())</f>
        <v>1.7245370399905369E-3</v>
      </c>
      <c r="H131">
        <f>Poäng(Table_ungdomsserien2013_resultat[[#This Row],[Klass]],Table_ungdomsserien2013_resultat[[#This Row],[Tid]],Table_ungdomsserien2013_resultat[[#This Row],[Status]],Table_ungdomsserien2013_resultat[[#This Row],[Bästa tid]])</f>
        <v>34</v>
      </c>
      <c r="I131" t="str" cm="1">
        <f t="array" ref="I131">ToStatus(Table_ungdomsserien2013_resultat[[#This Row],[Status]],TEXT(Table_ungdomsserien2013_resultat[[#This Row],[Tid]],"tt:mm:dd"))</f>
        <v>ParticipantStatus.Passed</v>
      </c>
      <c r="J131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new("U2", "Arvid Löfstedt", "Haninge SOK", T("00:21:12"),ParticipantStatus.Passed),</v>
      </c>
    </row>
    <row r="132" spans="1:10" x14ac:dyDescent="0.25">
      <c r="A132" t="s">
        <v>63</v>
      </c>
      <c r="B132" t="s">
        <v>165</v>
      </c>
      <c r="C132" t="s">
        <v>80</v>
      </c>
      <c r="D132" s="1">
        <v>42136.015069444446</v>
      </c>
      <c r="E132" t="s">
        <v>184</v>
      </c>
      <c r="F132" s="2">
        <f>IF(A132&lt;&gt;A131,Table_ungdomsserien2013_resultat[[#This Row],[Tid]],F131)</f>
        <v>42136.013194444444</v>
      </c>
      <c r="G132" s="2">
        <f>IF(ISNUMBER(Table_ungdomsserien2013_resultat[[#This Row],[Tid]]),Table_ungdomsserien2013_resultat[[#This Row],[Tid]]-Table_ungdomsserien2013_resultat[[#This Row],[Bästa tid]],NA())</f>
        <v>1.8750000017462298E-3</v>
      </c>
      <c r="H132">
        <f>Poäng(Table_ungdomsserien2013_resultat[[#This Row],[Klass]],Table_ungdomsserien2013_resultat[[#This Row],[Tid]],Table_ungdomsserien2013_resultat[[#This Row],[Status]],Table_ungdomsserien2013_resultat[[#This Row],[Bästa tid]])</f>
        <v>34</v>
      </c>
      <c r="I132" t="str" cm="1">
        <f t="array" ref="I132">ToStatus(Table_ungdomsserien2013_resultat[[#This Row],[Status]],TEXT(Table_ungdomsserien2013_resultat[[#This Row],[Tid]],"tt:mm:dd"))</f>
        <v>ParticipantStatus.Passed</v>
      </c>
      <c r="J132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new("U2", "Felicia Strindér", "IFK Enskede", T("00:21:12"),ParticipantStatus.Passed),</v>
      </c>
    </row>
    <row r="133" spans="1:10" x14ac:dyDescent="0.25">
      <c r="A133" t="s">
        <v>63</v>
      </c>
      <c r="B133" t="s">
        <v>161</v>
      </c>
      <c r="C133" t="s">
        <v>78</v>
      </c>
      <c r="D133" s="1">
        <v>42136.015706018516</v>
      </c>
      <c r="E133" t="s">
        <v>184</v>
      </c>
      <c r="F133" s="2">
        <f>IF(A133&lt;&gt;A132,Table_ungdomsserien2013_resultat[[#This Row],[Tid]],F132)</f>
        <v>42136.013194444444</v>
      </c>
      <c r="G133" s="2">
        <f>IF(ISNUMBER(Table_ungdomsserien2013_resultat[[#This Row],[Tid]]),Table_ungdomsserien2013_resultat[[#This Row],[Tid]]-Table_ungdomsserien2013_resultat[[#This Row],[Bästa tid]],NA())</f>
        <v>2.5115740718320012E-3</v>
      </c>
      <c r="H133">
        <f>Poäng(Table_ungdomsserien2013_resultat[[#This Row],[Klass]],Table_ungdomsserien2013_resultat[[#This Row],[Tid]],Table_ungdomsserien2013_resultat[[#This Row],[Status]],Table_ungdomsserien2013_resultat[[#This Row],[Bästa tid]])</f>
        <v>32</v>
      </c>
      <c r="I133" t="str" cm="1">
        <f t="array" ref="I133">ToStatus(Table_ungdomsserien2013_resultat[[#This Row],[Status]],TEXT(Table_ungdomsserien2013_resultat[[#This Row],[Tid]],"tt:mm:dd"))</f>
        <v>ParticipantStatus.Passed</v>
      </c>
      <c r="J133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new("U2", "Elin Abel", "Snättringe SK", T("00:22:12"),ParticipantStatus.Passed),</v>
      </c>
    </row>
    <row r="134" spans="1:10" x14ac:dyDescent="0.25">
      <c r="A134" t="s">
        <v>63</v>
      </c>
      <c r="B134" t="s">
        <v>159</v>
      </c>
      <c r="C134" t="s">
        <v>78</v>
      </c>
      <c r="D134" s="1">
        <v>42136.017569444448</v>
      </c>
      <c r="E134" t="s">
        <v>184</v>
      </c>
      <c r="F134" s="2">
        <f>IF(A134&lt;&gt;A133,Table_ungdomsserien2013_resultat[[#This Row],[Tid]],F133)</f>
        <v>42136.013194444444</v>
      </c>
      <c r="G134" s="2">
        <f>IF(ISNUMBER(Table_ungdomsserien2013_resultat[[#This Row],[Tid]]),Table_ungdomsserien2013_resultat[[#This Row],[Tid]]-Table_ungdomsserien2013_resultat[[#This Row],[Bästa tid]],NA())</f>
        <v>4.3750000040745363E-3</v>
      </c>
      <c r="H134">
        <f>Poäng(Table_ungdomsserien2013_resultat[[#This Row],[Klass]],Table_ungdomsserien2013_resultat[[#This Row],[Tid]],Table_ungdomsserien2013_resultat[[#This Row],[Status]],Table_ungdomsserien2013_resultat[[#This Row],[Bästa tid]])</f>
        <v>26</v>
      </c>
      <c r="I134" t="str" cm="1">
        <f t="array" ref="I134">ToStatus(Table_ungdomsserien2013_resultat[[#This Row],[Status]],TEXT(Table_ungdomsserien2013_resultat[[#This Row],[Tid]],"tt:mm:dd"))</f>
        <v>ParticipantStatus.Passed</v>
      </c>
      <c r="J134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new("U2", "Ida Pelander", "Snättringe SK", T("00:25:12"),ParticipantStatus.Passed),</v>
      </c>
    </row>
    <row r="135" spans="1:10" x14ac:dyDescent="0.25">
      <c r="A135" t="s">
        <v>63</v>
      </c>
      <c r="B135" t="s">
        <v>160</v>
      </c>
      <c r="C135" t="s">
        <v>78</v>
      </c>
      <c r="D135" s="1">
        <v>42136.017800925925</v>
      </c>
      <c r="E135" t="s">
        <v>184</v>
      </c>
      <c r="F135" s="2">
        <f>IF(A135&lt;&gt;A134,Table_ungdomsserien2013_resultat[[#This Row],[Tid]],F134)</f>
        <v>42136.013194444444</v>
      </c>
      <c r="G135" s="2">
        <f>IF(ISNUMBER(Table_ungdomsserien2013_resultat[[#This Row],[Tid]]),Table_ungdomsserien2013_resultat[[#This Row],[Tid]]-Table_ungdomsserien2013_resultat[[#This Row],[Bästa tid]],NA())</f>
        <v>4.6064814814599231E-3</v>
      </c>
      <c r="H135">
        <f>Poäng(Table_ungdomsserien2013_resultat[[#This Row],[Klass]],Table_ungdomsserien2013_resultat[[#This Row],[Tid]],Table_ungdomsserien2013_resultat[[#This Row],[Status]],Table_ungdomsserien2013_resultat[[#This Row],[Bästa tid]])</f>
        <v>26</v>
      </c>
      <c r="I135" t="str" cm="1">
        <f t="array" ref="I135">ToStatus(Table_ungdomsserien2013_resultat[[#This Row],[Status]],TEXT(Table_ungdomsserien2013_resultat[[#This Row],[Tid]],"tt:mm:dd"))</f>
        <v>ParticipantStatus.Passed</v>
      </c>
      <c r="J135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new("U2", "Casper Van den Tempel Sölvin", "Snättringe SK", T("00:25:12"),ParticipantStatus.Passed),</v>
      </c>
    </row>
    <row r="136" spans="1:10" x14ac:dyDescent="0.25">
      <c r="A136" t="s">
        <v>63</v>
      </c>
      <c r="B136" t="s">
        <v>59</v>
      </c>
      <c r="C136" t="s">
        <v>79</v>
      </c>
      <c r="D136" s="1">
        <v>42136.017812500002</v>
      </c>
      <c r="E136" t="s">
        <v>184</v>
      </c>
      <c r="F136" s="2">
        <f>IF(A136&lt;&gt;A135,Table_ungdomsserien2013_resultat[[#This Row],[Tid]],F135)</f>
        <v>42136.013194444444</v>
      </c>
      <c r="G136" s="2">
        <f>IF(ISNUMBER(Table_ungdomsserien2013_resultat[[#This Row],[Tid]]),Table_ungdomsserien2013_resultat[[#This Row],[Tid]]-Table_ungdomsserien2013_resultat[[#This Row],[Bästa tid]],NA())</f>
        <v>4.6180555582395755E-3</v>
      </c>
      <c r="H136">
        <f>Poäng(Table_ungdomsserien2013_resultat[[#This Row],[Klass]],Table_ungdomsserien2013_resultat[[#This Row],[Tid]],Table_ungdomsserien2013_resultat[[#This Row],[Status]],Table_ungdomsserien2013_resultat[[#This Row],[Bästa tid]])</f>
        <v>26</v>
      </c>
      <c r="I136" t="str" cm="1">
        <f t="array" ref="I136">ToStatus(Table_ungdomsserien2013_resultat[[#This Row],[Status]],TEXT(Table_ungdomsserien2013_resultat[[#This Row],[Tid]],"tt:mm:dd"))</f>
        <v>ParticipantStatus.Passed</v>
      </c>
      <c r="J136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new("U2", "Moa Glanshed", "Haninge SOK", T("00:25:12"),ParticipantStatus.Passed),</v>
      </c>
    </row>
    <row r="137" spans="1:10" x14ac:dyDescent="0.25">
      <c r="A137" t="s">
        <v>63</v>
      </c>
      <c r="B137" t="s">
        <v>168</v>
      </c>
      <c r="C137" t="s">
        <v>79</v>
      </c>
      <c r="D137" s="1">
        <v>42136.018564814818</v>
      </c>
      <c r="E137" t="s">
        <v>184</v>
      </c>
      <c r="F137" s="2">
        <f>IF(A137&lt;&gt;A136,Table_ungdomsserien2013_resultat[[#This Row],[Tid]],F136)</f>
        <v>42136.013194444444</v>
      </c>
      <c r="G137" s="2">
        <f>IF(ISNUMBER(Table_ungdomsserien2013_resultat[[#This Row],[Tid]]),Table_ungdomsserien2013_resultat[[#This Row],[Tid]]-Table_ungdomsserien2013_resultat[[#This Row],[Bästa tid]],NA())</f>
        <v>5.3703703742939979E-3</v>
      </c>
      <c r="H137">
        <f>Poäng(Table_ungdomsserien2013_resultat[[#This Row],[Klass]],Table_ungdomsserien2013_resultat[[#This Row],[Tid]],Table_ungdomsserien2013_resultat[[#This Row],[Status]],Table_ungdomsserien2013_resultat[[#This Row],[Bästa tid]])</f>
        <v>24</v>
      </c>
      <c r="I137" t="str" cm="1">
        <f t="array" ref="I137">ToStatus(Table_ungdomsserien2013_resultat[[#This Row],[Status]],TEXT(Table_ungdomsserien2013_resultat[[#This Row],[Tid]],"tt:mm:dd"))</f>
        <v>ParticipantStatus.Passed</v>
      </c>
      <c r="J137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new("U2", "Rikard Tapia", "Haninge SOK", T("00:26:12"),ParticipantStatus.Passed),</v>
      </c>
    </row>
    <row r="138" spans="1:10" x14ac:dyDescent="0.25">
      <c r="A138" t="s">
        <v>63</v>
      </c>
      <c r="B138" t="s">
        <v>172</v>
      </c>
      <c r="C138" t="s">
        <v>78</v>
      </c>
      <c r="D138" s="1">
        <v>42136.018807870372</v>
      </c>
      <c r="E138" t="s">
        <v>184</v>
      </c>
      <c r="F138" s="2">
        <f>IF(A138&lt;&gt;A137,Table_ungdomsserien2013_resultat[[#This Row],[Tid]],F137)</f>
        <v>42136.013194444444</v>
      </c>
      <c r="G138" s="2">
        <f>IF(ISNUMBER(Table_ungdomsserien2013_resultat[[#This Row],[Tid]]),Table_ungdomsserien2013_resultat[[#This Row],[Tid]]-Table_ungdomsserien2013_resultat[[#This Row],[Bästa tid]],NA())</f>
        <v>5.6134259284590371E-3</v>
      </c>
      <c r="H138">
        <f>Poäng(Table_ungdomsserien2013_resultat[[#This Row],[Klass]],Table_ungdomsserien2013_resultat[[#This Row],[Tid]],Table_ungdomsserien2013_resultat[[#This Row],[Status]],Table_ungdomsserien2013_resultat[[#This Row],[Bästa tid]])</f>
        <v>22</v>
      </c>
      <c r="I138" t="str" cm="1">
        <f t="array" ref="I138">ToStatus(Table_ungdomsserien2013_resultat[[#This Row],[Status]],TEXT(Table_ungdomsserien2013_resultat[[#This Row],[Tid]],"tt:mm:dd"))</f>
        <v>ParticipantStatus.Passed</v>
      </c>
      <c r="J138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new("U2", "David Berglund", "Snättringe SK", T("00:27:12"),ParticipantStatus.Passed),</v>
      </c>
    </row>
    <row r="139" spans="1:10" x14ac:dyDescent="0.25">
      <c r="A139" t="s">
        <v>63</v>
      </c>
      <c r="B139" t="s">
        <v>58</v>
      </c>
      <c r="C139" t="s">
        <v>79</v>
      </c>
      <c r="D139" s="1">
        <v>42136.018946759257</v>
      </c>
      <c r="E139" t="s">
        <v>184</v>
      </c>
      <c r="F139" s="2">
        <f>IF(A139&lt;&gt;A138,Table_ungdomsserien2013_resultat[[#This Row],[Tid]],F138)</f>
        <v>42136.013194444444</v>
      </c>
      <c r="G139" s="2">
        <f>IF(ISNUMBER(Table_ungdomsserien2013_resultat[[#This Row],[Tid]]),Table_ungdomsserien2013_resultat[[#This Row],[Tid]]-Table_ungdomsserien2013_resultat[[#This Row],[Bästa tid]],NA())</f>
        <v>5.7523148134350777E-3</v>
      </c>
      <c r="H139">
        <f>Poäng(Table_ungdomsserien2013_resultat[[#This Row],[Klass]],Table_ungdomsserien2013_resultat[[#This Row],[Tid]],Table_ungdomsserien2013_resultat[[#This Row],[Status]],Table_ungdomsserien2013_resultat[[#This Row],[Bästa tid]])</f>
        <v>22</v>
      </c>
      <c r="I139" t="str" cm="1">
        <f t="array" ref="I139">ToStatus(Table_ungdomsserien2013_resultat[[#This Row],[Status]],TEXT(Table_ungdomsserien2013_resultat[[#This Row],[Tid]],"tt:mm:dd"))</f>
        <v>ParticipantStatus.Passed</v>
      </c>
      <c r="J139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new("U2", "Hampus Glanshed", "Haninge SOK", T("00:27:12"),ParticipantStatus.Passed),</v>
      </c>
    </row>
    <row r="140" spans="1:10" x14ac:dyDescent="0.25">
      <c r="A140" t="s">
        <v>63</v>
      </c>
      <c r="B140" t="s">
        <v>171</v>
      </c>
      <c r="C140" t="s">
        <v>78</v>
      </c>
      <c r="D140" s="1">
        <v>42136.019988425927</v>
      </c>
      <c r="E140" t="s">
        <v>184</v>
      </c>
      <c r="F140" s="2">
        <f>IF(A140&lt;&gt;A139,Table_ungdomsserien2013_resultat[[#This Row],[Tid]],F139)</f>
        <v>42136.013194444444</v>
      </c>
      <c r="G140" s="2">
        <f>IF(ISNUMBER(Table_ungdomsserien2013_resultat[[#This Row],[Tid]]),Table_ungdomsserien2013_resultat[[#This Row],[Tid]]-Table_ungdomsserien2013_resultat[[#This Row],[Bästa tid]],NA())</f>
        <v>6.7939814834971912E-3</v>
      </c>
      <c r="H140">
        <f>Poäng(Table_ungdomsserien2013_resultat[[#This Row],[Klass]],Table_ungdomsserien2013_resultat[[#This Row],[Tid]],Table_ungdomsserien2013_resultat[[#This Row],[Status]],Table_ungdomsserien2013_resultat[[#This Row],[Bästa tid]])</f>
        <v>20</v>
      </c>
      <c r="I140" t="str" cm="1">
        <f t="array" ref="I140">ToStatus(Table_ungdomsserien2013_resultat[[#This Row],[Status]],TEXT(Table_ungdomsserien2013_resultat[[#This Row],[Tid]],"tt:mm:dd"))</f>
        <v>ParticipantStatus.Passed</v>
      </c>
      <c r="J140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new("U2", "Nikola Sthyr", "Snättringe SK", T("00:28:12"),ParticipantStatus.Passed),</v>
      </c>
    </row>
    <row r="141" spans="1:10" x14ac:dyDescent="0.25">
      <c r="A141" t="s">
        <v>63</v>
      </c>
      <c r="B141" t="s">
        <v>166</v>
      </c>
      <c r="C141" t="s">
        <v>79</v>
      </c>
      <c r="D141" s="1">
        <v>42136.022256944445</v>
      </c>
      <c r="E141" t="s">
        <v>184</v>
      </c>
      <c r="F141" s="2">
        <f>IF(A141&lt;&gt;A140,Table_ungdomsserien2013_resultat[[#This Row],[Tid]],F140)</f>
        <v>42136.013194444444</v>
      </c>
      <c r="G141" s="2">
        <f>IF(ISNUMBER(Table_ungdomsserien2013_resultat[[#This Row],[Tid]]),Table_ungdomsserien2013_resultat[[#This Row],[Tid]]-Table_ungdomsserien2013_resultat[[#This Row],[Bästa tid]],NA())</f>
        <v>9.0625000011641532E-3</v>
      </c>
      <c r="H141">
        <f>Poäng(Table_ungdomsserien2013_resultat[[#This Row],[Klass]],Table_ungdomsserien2013_resultat[[#This Row],[Tid]],Table_ungdomsserien2013_resultat[[#This Row],[Status]],Table_ungdomsserien2013_resultat[[#This Row],[Bästa tid]])</f>
        <v>12</v>
      </c>
      <c r="I141" t="str" cm="1">
        <f t="array" ref="I141">ToStatus(Table_ungdomsserien2013_resultat[[#This Row],[Status]],TEXT(Table_ungdomsserien2013_resultat[[#This Row],[Tid]],"tt:mm:dd"))</f>
        <v>ParticipantStatus.Passed</v>
      </c>
      <c r="J141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new("U2", "Jonatan Rydén", "Haninge SOK", T("00:32:12"),ParticipantStatus.Passed),</v>
      </c>
    </row>
    <row r="142" spans="1:10" x14ac:dyDescent="0.25">
      <c r="A142" t="s">
        <v>63</v>
      </c>
      <c r="B142" t="s">
        <v>57</v>
      </c>
      <c r="C142" t="s">
        <v>79</v>
      </c>
      <c r="D142" s="1">
        <v>42136.022650462961</v>
      </c>
      <c r="E142" t="s">
        <v>184</v>
      </c>
      <c r="F142" s="2">
        <f>IF(A142&lt;&gt;A141,Table_ungdomsserien2013_resultat[[#This Row],[Tid]],F141)</f>
        <v>42136.013194444444</v>
      </c>
      <c r="G142" s="2">
        <f>IF(ISNUMBER(Table_ungdomsserien2013_resultat[[#This Row],[Tid]]),Table_ungdomsserien2013_resultat[[#This Row],[Tid]]-Table_ungdomsserien2013_resultat[[#This Row],[Bästa tid]],NA())</f>
        <v>9.4560185170848854E-3</v>
      </c>
      <c r="H142">
        <f>Poäng(Table_ungdomsserien2013_resultat[[#This Row],[Klass]],Table_ungdomsserien2013_resultat[[#This Row],[Tid]],Table_ungdomsserien2013_resultat[[#This Row],[Status]],Table_ungdomsserien2013_resultat[[#This Row],[Bästa tid]])</f>
        <v>12</v>
      </c>
      <c r="I142" t="str" cm="1">
        <f t="array" ref="I142">ToStatus(Table_ungdomsserien2013_resultat[[#This Row],[Status]],TEXT(Table_ungdomsserien2013_resultat[[#This Row],[Tid]],"tt:mm:dd"))</f>
        <v>ParticipantStatus.Passed</v>
      </c>
      <c r="J142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new("U2", "Jonathan Trulsrud", "Haninge SOK", T("00:32:12"),ParticipantStatus.Passed),</v>
      </c>
    </row>
    <row r="143" spans="1:10" x14ac:dyDescent="0.25">
      <c r="A143" t="s">
        <v>63</v>
      </c>
      <c r="B143" t="s">
        <v>169</v>
      </c>
      <c r="C143" t="s">
        <v>80</v>
      </c>
      <c r="D143" s="1">
        <v>42136.022800925923</v>
      </c>
      <c r="E143" t="s">
        <v>184</v>
      </c>
      <c r="F143" s="2">
        <f>IF(A143&lt;&gt;A142,Table_ungdomsserien2013_resultat[[#This Row],[Tid]],F142)</f>
        <v>42136.013194444444</v>
      </c>
      <c r="G143" s="2">
        <f>IF(ISNUMBER(Table_ungdomsserien2013_resultat[[#This Row],[Tid]]),Table_ungdomsserien2013_resultat[[#This Row],[Tid]]-Table_ungdomsserien2013_resultat[[#This Row],[Bästa tid]],NA())</f>
        <v>9.6064814788405783E-3</v>
      </c>
      <c r="H143">
        <f>Poäng(Table_ungdomsserien2013_resultat[[#This Row],[Klass]],Table_ungdomsserien2013_resultat[[#This Row],[Tid]],Table_ungdomsserien2013_resultat[[#This Row],[Status]],Table_ungdomsserien2013_resultat[[#This Row],[Bästa tid]])</f>
        <v>12</v>
      </c>
      <c r="I143" t="str" cm="1">
        <f t="array" ref="I143">ToStatus(Table_ungdomsserien2013_resultat[[#This Row],[Status]],TEXT(Table_ungdomsserien2013_resultat[[#This Row],[Tid]],"tt:mm:dd"))</f>
        <v>ParticipantStatus.Passed</v>
      </c>
      <c r="J143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new("U2", "Lucas Deboussard", "IFK Enskede", T("00:32:12"),ParticipantStatus.Passed),</v>
      </c>
    </row>
    <row r="144" spans="1:10" x14ac:dyDescent="0.25">
      <c r="A144" t="s">
        <v>63</v>
      </c>
      <c r="B144" t="s">
        <v>157</v>
      </c>
      <c r="C144" t="s">
        <v>78</v>
      </c>
      <c r="D144" s="1">
        <v>42136.02412037037</v>
      </c>
      <c r="E144" t="s">
        <v>184</v>
      </c>
      <c r="F144" s="2">
        <f>IF(A144&lt;&gt;A143,Table_ungdomsserien2013_resultat[[#This Row],[Tid]],F143)</f>
        <v>42136.013194444444</v>
      </c>
      <c r="G144" s="2">
        <f>IF(ISNUMBER(Table_ungdomsserien2013_resultat[[#This Row],[Tid]]),Table_ungdomsserien2013_resultat[[#This Row],[Tid]]-Table_ungdomsserien2013_resultat[[#This Row],[Bästa tid]],NA())</f>
        <v>1.0925925926130731E-2</v>
      </c>
      <c r="H144">
        <f>Poäng(Table_ungdomsserien2013_resultat[[#This Row],[Klass]],Table_ungdomsserien2013_resultat[[#This Row],[Tid]],Table_ungdomsserien2013_resultat[[#This Row],[Status]],Table_ungdomsserien2013_resultat[[#This Row],[Bästa tid]])</f>
        <v>10</v>
      </c>
      <c r="I144" t="str" cm="1">
        <f t="array" ref="I144">ToStatus(Table_ungdomsserien2013_resultat[[#This Row],[Status]],TEXT(Table_ungdomsserien2013_resultat[[#This Row],[Tid]],"tt:mm:dd"))</f>
        <v>ParticipantStatus.Passed</v>
      </c>
      <c r="J144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new("U2", "Mattias Boräng", "Snättringe SK", T("00:34:12"),ParticipantStatus.Passed),</v>
      </c>
    </row>
    <row r="145" spans="1:10" x14ac:dyDescent="0.25">
      <c r="A145" t="s">
        <v>63</v>
      </c>
      <c r="B145" t="s">
        <v>162</v>
      </c>
      <c r="C145" t="s">
        <v>79</v>
      </c>
      <c r="D145" s="1">
        <v>42136.025381944448</v>
      </c>
      <c r="E145" t="s">
        <v>184</v>
      </c>
      <c r="F145" s="2">
        <f>IF(A145&lt;&gt;A144,Table_ungdomsserien2013_resultat[[#This Row],[Tid]],F144)</f>
        <v>42136.013194444444</v>
      </c>
      <c r="G145" s="2">
        <f>IF(ISNUMBER(Table_ungdomsserien2013_resultat[[#This Row],[Tid]]),Table_ungdomsserien2013_resultat[[#This Row],[Tid]]-Table_ungdomsserien2013_resultat[[#This Row],[Bästa tid]],NA())</f>
        <v>1.2187500004074536E-2</v>
      </c>
      <c r="H145">
        <f>Poäng(Table_ungdomsserien2013_resultat[[#This Row],[Klass]],Table_ungdomsserien2013_resultat[[#This Row],[Tid]],Table_ungdomsserien2013_resultat[[#This Row],[Status]],Table_ungdomsserien2013_resultat[[#This Row],[Bästa tid]])</f>
        <v>10</v>
      </c>
      <c r="I145" t="str" cm="1">
        <f t="array" ref="I145">ToStatus(Table_ungdomsserien2013_resultat[[#This Row],[Status]],TEXT(Table_ungdomsserien2013_resultat[[#This Row],[Tid]],"tt:mm:dd"))</f>
        <v>ParticipantStatus.Passed</v>
      </c>
      <c r="J145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new("U2", "Madelene Midelf", "Haninge SOK", T("00:36:12"),ParticipantStatus.Passed),</v>
      </c>
    </row>
    <row r="146" spans="1:10" x14ac:dyDescent="0.25">
      <c r="A146" t="s">
        <v>63</v>
      </c>
      <c r="B146" t="s">
        <v>54</v>
      </c>
      <c r="C146" t="s">
        <v>78</v>
      </c>
      <c r="D146" s="1"/>
      <c r="E146" t="s">
        <v>187</v>
      </c>
      <c r="F146" s="2">
        <f>IF(A146&lt;&gt;A145,Table_ungdomsserien2013_resultat[[#This Row],[Tid]],F145)</f>
        <v>42136.013194444444</v>
      </c>
      <c r="G146" s="2" t="e">
        <f>IF(ISNUMBER(Table_ungdomsserien2013_resultat[[#This Row],[Tid]]),Table_ungdomsserien2013_resultat[[#This Row],[Tid]]-Table_ungdomsserien2013_resultat[[#This Row],[Bästa tid]],NA())</f>
        <v>#N/A</v>
      </c>
      <c r="H146">
        <f>Poäng(Table_ungdomsserien2013_resultat[[#This Row],[Klass]],Table_ungdomsserien2013_resultat[[#This Row],[Tid]],Table_ungdomsserien2013_resultat[[#This Row],[Status]],Table_ungdomsserien2013_resultat[[#This Row],[Bästa tid]])</f>
        <v>0</v>
      </c>
      <c r="I146" t="str" cm="1">
        <f t="array" ref="I146">ToStatus(Table_ungdomsserien2013_resultat[[#This Row],[Status]],TEXT(Table_ungdomsserien2013_resultat[[#This Row],[Tid]],"tt:mm:dd"))</f>
        <v>ParticipantStatus.NotStarted</v>
      </c>
      <c r="J146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new("U2", "Moa Klingberg", "Snättringe SK", T("00:00:00"),ParticipantStatus.NotStarted),</v>
      </c>
    </row>
    <row r="147" spans="1:10" x14ac:dyDescent="0.25">
      <c r="A147" t="s">
        <v>63</v>
      </c>
      <c r="B147" t="s">
        <v>170</v>
      </c>
      <c r="C147" t="s">
        <v>88</v>
      </c>
      <c r="D147" s="1"/>
      <c r="E147" t="s">
        <v>187</v>
      </c>
      <c r="F147" s="2">
        <f>IF(A147&lt;&gt;A146,Table_ungdomsserien2013_resultat[[#This Row],[Tid]],F146)</f>
        <v>42136.013194444444</v>
      </c>
      <c r="G147" s="2" t="e">
        <f>IF(ISNUMBER(Table_ungdomsserien2013_resultat[[#This Row],[Tid]]),Table_ungdomsserien2013_resultat[[#This Row],[Tid]]-Table_ungdomsserien2013_resultat[[#This Row],[Bästa tid]],NA())</f>
        <v>#N/A</v>
      </c>
      <c r="H147">
        <f>Poäng(Table_ungdomsserien2013_resultat[[#This Row],[Klass]],Table_ungdomsserien2013_resultat[[#This Row],[Tid]],Table_ungdomsserien2013_resultat[[#This Row],[Status]],Table_ungdomsserien2013_resultat[[#This Row],[Bästa tid]])</f>
        <v>0</v>
      </c>
      <c r="I147" t="str" cm="1">
        <f t="array" ref="I147">ToStatus(Table_ungdomsserien2013_resultat[[#This Row],[Status]],TEXT(Table_ungdomsserien2013_resultat[[#This Row],[Tid]],"tt:mm:dd"))</f>
        <v>ParticipantStatus.NotStarted</v>
      </c>
      <c r="J147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new("U2", "Elmin Hovmöller", "Söders-Tyresö", T("00:00:00"),ParticipantStatus.NotStarted),</v>
      </c>
    </row>
    <row r="148" spans="1:10" x14ac:dyDescent="0.25">
      <c r="A148" t="s">
        <v>63</v>
      </c>
      <c r="B148" t="s">
        <v>164</v>
      </c>
      <c r="C148" t="s">
        <v>88</v>
      </c>
      <c r="D148" s="1"/>
      <c r="E148" t="s">
        <v>187</v>
      </c>
      <c r="F148" s="2">
        <f>IF(A148&lt;&gt;A147,Table_ungdomsserien2013_resultat[[#This Row],[Tid]],F147)</f>
        <v>42136.013194444444</v>
      </c>
      <c r="G148" s="2" t="e">
        <f>IF(ISNUMBER(Table_ungdomsserien2013_resultat[[#This Row],[Tid]]),Table_ungdomsserien2013_resultat[[#This Row],[Tid]]-Table_ungdomsserien2013_resultat[[#This Row],[Bästa tid]],NA())</f>
        <v>#N/A</v>
      </c>
      <c r="H148">
        <f>Poäng(Table_ungdomsserien2013_resultat[[#This Row],[Klass]],Table_ungdomsserien2013_resultat[[#This Row],[Tid]],Table_ungdomsserien2013_resultat[[#This Row],[Status]],Table_ungdomsserien2013_resultat[[#This Row],[Bästa tid]])</f>
        <v>0</v>
      </c>
      <c r="I148" t="str" cm="1">
        <f t="array" ref="I148">ToStatus(Table_ungdomsserien2013_resultat[[#This Row],[Status]],TEXT(Table_ungdomsserien2013_resultat[[#This Row],[Tid]],"tt:mm:dd"))</f>
        <v>ParticipantStatus.NotStarted</v>
      </c>
      <c r="J148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new("U2", "Ville Laurila", "Söders-Tyresö", T("00:00:00"),ParticipantStatus.NotStarted),</v>
      </c>
    </row>
    <row r="149" spans="1:10" x14ac:dyDescent="0.25">
      <c r="A149" t="s">
        <v>72</v>
      </c>
      <c r="B149" t="s">
        <v>173</v>
      </c>
      <c r="C149" t="s">
        <v>78</v>
      </c>
      <c r="D149" s="1">
        <v>42136.028460648151</v>
      </c>
      <c r="E149" t="s">
        <v>184</v>
      </c>
      <c r="F149" s="2">
        <f>IF(A149&lt;&gt;A148,Table_ungdomsserien2013_resultat[[#This Row],[Tid]],F148)</f>
        <v>42136.028460648151</v>
      </c>
      <c r="G149" s="2">
        <f>IF(ISNUMBER(Table_ungdomsserien2013_resultat[[#This Row],[Tid]]),Table_ungdomsserien2013_resultat[[#This Row],[Tid]]-Table_ungdomsserien2013_resultat[[#This Row],[Bästa tid]],NA())</f>
        <v>0</v>
      </c>
      <c r="H149">
        <f>Poäng(Table_ungdomsserien2013_resultat[[#This Row],[Klass]],Table_ungdomsserien2013_resultat[[#This Row],[Tid]],Table_ungdomsserien2013_resultat[[#This Row],[Status]],Table_ungdomsserien2013_resultat[[#This Row],[Bästa tid]])</f>
        <v>40</v>
      </c>
      <c r="I149" t="str" cm="1">
        <f t="array" ref="I149">ToStatus(Table_ungdomsserien2013_resultat[[#This Row],[Status]],TEXT(Table_ungdomsserien2013_resultat[[#This Row],[Tid]],"tt:mm:dd"))</f>
        <v>ParticipantStatus.Passed</v>
      </c>
      <c r="J149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new("U3", "Oscar Fredholm", "Snättringe SK", T("00:40:12"),ParticipantStatus.Passed),</v>
      </c>
    </row>
    <row r="150" spans="1:10" x14ac:dyDescent="0.25">
      <c r="A150" t="s">
        <v>72</v>
      </c>
      <c r="B150" t="s">
        <v>183</v>
      </c>
      <c r="C150" t="s">
        <v>79</v>
      </c>
      <c r="D150" s="1">
        <v>42136.038275462961</v>
      </c>
      <c r="E150" t="s">
        <v>184</v>
      </c>
      <c r="F150" s="2">
        <f>IF(A150&lt;&gt;A149,Table_ungdomsserien2013_resultat[[#This Row],[Tid]],F149)</f>
        <v>42136.028460648151</v>
      </c>
      <c r="G150" s="2">
        <f>IF(ISNUMBER(Table_ungdomsserien2013_resultat[[#This Row],[Tid]]),Table_ungdomsserien2013_resultat[[#This Row],[Tid]]-Table_ungdomsserien2013_resultat[[#This Row],[Bästa tid]],NA())</f>
        <v>9.814814809942618E-3</v>
      </c>
      <c r="H150">
        <f>Poäng(Table_ungdomsserien2013_resultat[[#This Row],[Klass]],Table_ungdomsserien2013_resultat[[#This Row],[Tid]],Table_ungdomsserien2013_resultat[[#This Row],[Status]],Table_ungdomsserien2013_resultat[[#This Row],[Bästa tid]])</f>
        <v>10</v>
      </c>
      <c r="I150" t="str" cm="1">
        <f t="array" ref="I150">ToStatus(Table_ungdomsserien2013_resultat[[#This Row],[Status]],TEXT(Table_ungdomsserien2013_resultat[[#This Row],[Tid]],"tt:mm:dd"))</f>
        <v>ParticipantStatus.Passed</v>
      </c>
      <c r="J150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new("U3", "Ida Wester", "Haninge SOK", T("00:55:12"),ParticipantStatus.Passed),</v>
      </c>
    </row>
    <row r="151" spans="1:10" x14ac:dyDescent="0.25">
      <c r="A151" t="s">
        <v>72</v>
      </c>
      <c r="B151" t="s">
        <v>174</v>
      </c>
      <c r="C151" t="s">
        <v>79</v>
      </c>
      <c r="D151" s="1">
        <v>42136.039930555555</v>
      </c>
      <c r="E151" t="s">
        <v>184</v>
      </c>
      <c r="F151" s="2">
        <f>IF(A151&lt;&gt;A150,Table_ungdomsserien2013_resultat[[#This Row],[Tid]],F150)</f>
        <v>42136.028460648151</v>
      </c>
      <c r="G151" s="2">
        <f>IF(ISNUMBER(Table_ungdomsserien2013_resultat[[#This Row],[Tid]]),Table_ungdomsserien2013_resultat[[#This Row],[Tid]]-Table_ungdomsserien2013_resultat[[#This Row],[Bästa tid]],NA())</f>
        <v>1.1469907403807156E-2</v>
      </c>
      <c r="H151">
        <f>Poäng(Table_ungdomsserien2013_resultat[[#This Row],[Klass]],Table_ungdomsserien2013_resultat[[#This Row],[Tid]],Table_ungdomsserien2013_resultat[[#This Row],[Status]],Table_ungdomsserien2013_resultat[[#This Row],[Bästa tid]])</f>
        <v>10</v>
      </c>
      <c r="I151" t="str" cm="1">
        <f t="array" ref="I151">ToStatus(Table_ungdomsserien2013_resultat[[#This Row],[Status]],TEXT(Table_ungdomsserien2013_resultat[[#This Row],[Tid]],"tt:mm:dd"))</f>
        <v>ParticipantStatus.Passed</v>
      </c>
      <c r="J151" t="str">
        <f>_xlfn.CONCAT("new(""",Table_ungdomsserien2013_resultat[[#This Row],[Klass]],""", """,Table_ungdomsserien2013_resultat[[#This Row],[Namn]],""", """,Table_ungdomsserien2013_resultat[[#This Row],[Klubb]],""", T(""",TEXT(Table_ungdomsserien2013_resultat[[#This Row],[Tid]],"tt:mm:dd"),"""),",Table_ungdomsserien2013_resultat[[#This Row],[S2]],"),")</f>
        <v>new("U3", "Teodor Källman", "Haninge SOK", T("00:57:12"),ParticipantStatus.Passed),</v>
      </c>
    </row>
  </sheetData>
  <pageMargins left="0.7" right="0.7" top="0.75" bottom="0.75" header="0.3" footer="0.3"/>
  <pageSetup paperSize="0" orientation="portrait" horizontalDpi="0" verticalDpi="0" copie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2:C8"/>
  <sheetViews>
    <sheetView workbookViewId="0">
      <selection activeCell="C9" sqref="C9"/>
    </sheetView>
  </sheetViews>
  <sheetFormatPr defaultRowHeight="15" x14ac:dyDescent="0.25"/>
  <cols>
    <col min="1" max="1" width="13.7109375" customWidth="1"/>
    <col min="2" max="2" width="10.85546875" customWidth="1"/>
    <col min="3" max="3" width="7.140625" customWidth="1"/>
    <col min="4" max="5" width="4" customWidth="1"/>
    <col min="6" max="6" width="3" customWidth="1"/>
    <col min="7" max="17" width="4" customWidth="1"/>
    <col min="18" max="18" width="3" customWidth="1"/>
    <col min="19" max="20" width="4" customWidth="1"/>
    <col min="21" max="22" width="3" customWidth="1"/>
    <col min="23" max="23" width="4" customWidth="1"/>
    <col min="24" max="24" width="3" customWidth="1"/>
    <col min="25" max="25" width="2" customWidth="1"/>
    <col min="26" max="26" width="11.28515625" customWidth="1"/>
    <col min="27" max="27" width="2" customWidth="1"/>
    <col min="28" max="49" width="3" customWidth="1"/>
    <col min="50" max="50" width="18.140625" bestFit="1" customWidth="1"/>
    <col min="51" max="51" width="20.5703125" bestFit="1" customWidth="1"/>
  </cols>
  <sheetData>
    <row r="2" spans="1:3" ht="21" x14ac:dyDescent="0.35">
      <c r="A2" s="5" t="s">
        <v>186</v>
      </c>
      <c r="C2" s="6">
        <f ca="1">NOW()</f>
        <v>44988.666539351849</v>
      </c>
    </row>
    <row r="4" spans="1:3" x14ac:dyDescent="0.25">
      <c r="A4" s="3" t="s">
        <v>77</v>
      </c>
      <c r="B4" t="s">
        <v>85</v>
      </c>
    </row>
    <row r="5" spans="1:3" x14ac:dyDescent="0.25">
      <c r="A5" s="4" t="s">
        <v>78</v>
      </c>
      <c r="B5">
        <v>1599</v>
      </c>
    </row>
    <row r="6" spans="1:3" x14ac:dyDescent="0.25">
      <c r="A6" s="4" t="s">
        <v>79</v>
      </c>
      <c r="B6">
        <v>845</v>
      </c>
    </row>
    <row r="7" spans="1:3" x14ac:dyDescent="0.25">
      <c r="A7" s="4" t="s">
        <v>80</v>
      </c>
      <c r="B7">
        <v>538</v>
      </c>
    </row>
    <row r="8" spans="1:3" x14ac:dyDescent="0.25">
      <c r="A8" s="4" t="s">
        <v>88</v>
      </c>
      <c r="B8">
        <v>407</v>
      </c>
    </row>
  </sheetData>
  <pageMargins left="0.70866141732283472" right="0.70866141732283472" top="0.74803149606299213" bottom="0.74803149606299213" header="0.31496062992125984" footer="0.31496062992125984"/>
  <pageSetup paperSize="9" scale="200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F20"/>
  <sheetViews>
    <sheetView workbookViewId="0">
      <selection activeCell="D16" sqref="D16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12.28515625" bestFit="1" customWidth="1"/>
    <col min="4" max="4" width="11.5703125" bestFit="1" customWidth="1"/>
    <col min="5" max="5" width="13.7109375" bestFit="1" customWidth="1"/>
    <col min="6" max="6" width="11.28515625" customWidth="1"/>
    <col min="7" max="8" width="11.28515625" bestFit="1" customWidth="1"/>
  </cols>
  <sheetData>
    <row r="1" spans="1:6" x14ac:dyDescent="0.25">
      <c r="A1" s="3" t="s">
        <v>83</v>
      </c>
      <c r="B1" s="3" t="s">
        <v>84</v>
      </c>
    </row>
    <row r="2" spans="1:6" x14ac:dyDescent="0.25">
      <c r="A2" s="3" t="s">
        <v>81</v>
      </c>
      <c r="B2" t="s">
        <v>78</v>
      </c>
      <c r="C2" t="s">
        <v>79</v>
      </c>
      <c r="D2" t="s">
        <v>80</v>
      </c>
      <c r="E2" t="s">
        <v>88</v>
      </c>
      <c r="F2" t="s">
        <v>82</v>
      </c>
    </row>
    <row r="3" spans="1:6" x14ac:dyDescent="0.25">
      <c r="A3" s="4" t="s">
        <v>36</v>
      </c>
      <c r="B3">
        <v>141</v>
      </c>
      <c r="D3">
        <v>106</v>
      </c>
      <c r="F3">
        <v>247</v>
      </c>
    </row>
    <row r="4" spans="1:6" x14ac:dyDescent="0.25">
      <c r="A4" s="4" t="s">
        <v>21</v>
      </c>
      <c r="B4">
        <v>21</v>
      </c>
      <c r="C4">
        <v>20</v>
      </c>
      <c r="E4">
        <v>50</v>
      </c>
      <c r="F4">
        <v>91</v>
      </c>
    </row>
    <row r="5" spans="1:6" x14ac:dyDescent="0.25">
      <c r="A5" s="4" t="s">
        <v>30</v>
      </c>
      <c r="B5">
        <v>101</v>
      </c>
      <c r="F5">
        <v>101</v>
      </c>
    </row>
    <row r="6" spans="1:6" x14ac:dyDescent="0.25">
      <c r="A6" s="4" t="s">
        <v>7</v>
      </c>
      <c r="B6">
        <v>5</v>
      </c>
      <c r="C6">
        <v>50</v>
      </c>
      <c r="E6">
        <v>15</v>
      </c>
      <c r="F6">
        <v>70</v>
      </c>
    </row>
    <row r="7" spans="1:6" x14ac:dyDescent="0.25">
      <c r="A7" s="4" t="s">
        <v>18</v>
      </c>
      <c r="B7">
        <v>50</v>
      </c>
      <c r="C7">
        <v>0</v>
      </c>
      <c r="F7">
        <v>50</v>
      </c>
    </row>
    <row r="8" spans="1:6" x14ac:dyDescent="0.25">
      <c r="A8" s="4" t="s">
        <v>4</v>
      </c>
      <c r="B8">
        <v>101</v>
      </c>
      <c r="F8">
        <v>101</v>
      </c>
    </row>
    <row r="9" spans="1:6" x14ac:dyDescent="0.25">
      <c r="A9" s="4" t="s">
        <v>39</v>
      </c>
      <c r="B9">
        <v>48</v>
      </c>
      <c r="C9">
        <v>134</v>
      </c>
      <c r="D9">
        <v>46</v>
      </c>
      <c r="F9">
        <v>228</v>
      </c>
    </row>
    <row r="10" spans="1:6" x14ac:dyDescent="0.25">
      <c r="A10" s="4" t="s">
        <v>24</v>
      </c>
      <c r="B10">
        <v>138</v>
      </c>
      <c r="C10">
        <v>74</v>
      </c>
      <c r="D10">
        <v>18</v>
      </c>
      <c r="E10">
        <v>100</v>
      </c>
      <c r="F10">
        <v>330</v>
      </c>
    </row>
    <row r="11" spans="1:6" x14ac:dyDescent="0.25">
      <c r="A11" s="4" t="s">
        <v>32</v>
      </c>
      <c r="B11">
        <v>50</v>
      </c>
      <c r="C11">
        <v>15</v>
      </c>
      <c r="D11">
        <v>42</v>
      </c>
      <c r="F11">
        <v>107</v>
      </c>
    </row>
    <row r="12" spans="1:6" x14ac:dyDescent="0.25">
      <c r="A12" s="4" t="s">
        <v>10</v>
      </c>
      <c r="B12">
        <v>121</v>
      </c>
      <c r="C12">
        <v>84</v>
      </c>
      <c r="D12">
        <v>0</v>
      </c>
      <c r="F12">
        <v>205</v>
      </c>
    </row>
    <row r="13" spans="1:6" x14ac:dyDescent="0.25">
      <c r="A13" s="4" t="s">
        <v>20</v>
      </c>
      <c r="B13">
        <v>80</v>
      </c>
      <c r="C13">
        <v>0</v>
      </c>
      <c r="D13">
        <v>159</v>
      </c>
      <c r="F13">
        <v>239</v>
      </c>
    </row>
    <row r="14" spans="1:6" x14ac:dyDescent="0.25">
      <c r="A14" s="4" t="s">
        <v>5</v>
      </c>
      <c r="B14">
        <v>90</v>
      </c>
      <c r="C14">
        <v>30</v>
      </c>
      <c r="E14">
        <v>50</v>
      </c>
      <c r="F14">
        <v>170</v>
      </c>
    </row>
    <row r="15" spans="1:6" x14ac:dyDescent="0.25">
      <c r="A15" s="4" t="s">
        <v>6</v>
      </c>
      <c r="B15">
        <v>94</v>
      </c>
      <c r="C15">
        <v>30</v>
      </c>
      <c r="F15">
        <v>124</v>
      </c>
    </row>
    <row r="16" spans="1:6" x14ac:dyDescent="0.25">
      <c r="A16" s="4" t="s">
        <v>44</v>
      </c>
      <c r="B16">
        <v>50</v>
      </c>
      <c r="C16">
        <v>30</v>
      </c>
      <c r="E16">
        <v>10</v>
      </c>
      <c r="F16">
        <v>90</v>
      </c>
    </row>
    <row r="17" spans="1:6" x14ac:dyDescent="0.25">
      <c r="A17" s="4" t="s">
        <v>47</v>
      </c>
      <c r="B17">
        <v>293</v>
      </c>
      <c r="C17">
        <v>218</v>
      </c>
      <c r="D17">
        <v>121</v>
      </c>
      <c r="E17">
        <v>148</v>
      </c>
      <c r="F17">
        <v>780</v>
      </c>
    </row>
    <row r="18" spans="1:6" x14ac:dyDescent="0.25">
      <c r="A18" s="4" t="s">
        <v>63</v>
      </c>
      <c r="B18">
        <v>176</v>
      </c>
      <c r="C18">
        <v>140</v>
      </c>
      <c r="D18">
        <v>46</v>
      </c>
      <c r="E18">
        <v>34</v>
      </c>
      <c r="F18">
        <v>396</v>
      </c>
    </row>
    <row r="19" spans="1:6" x14ac:dyDescent="0.25">
      <c r="A19" s="4" t="s">
        <v>72</v>
      </c>
      <c r="B19">
        <v>40</v>
      </c>
      <c r="C19">
        <v>20</v>
      </c>
      <c r="F19">
        <v>60</v>
      </c>
    </row>
    <row r="20" spans="1:6" x14ac:dyDescent="0.25">
      <c r="A20" s="4" t="s">
        <v>82</v>
      </c>
      <c r="B20">
        <v>1599</v>
      </c>
      <c r="C20">
        <v>845</v>
      </c>
      <c r="D20">
        <v>538</v>
      </c>
      <c r="E20">
        <v>407</v>
      </c>
      <c r="F20">
        <v>3389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E6761-1C54-449B-9150-711335C7BA27}">
  <dimension ref="A1:I30"/>
  <sheetViews>
    <sheetView tabSelected="1" workbookViewId="0">
      <selection activeCell="M22" sqref="M22"/>
    </sheetView>
  </sheetViews>
  <sheetFormatPr defaultRowHeight="15" x14ac:dyDescent="0.25"/>
  <cols>
    <col min="1" max="1" width="15.5703125" bestFit="1" customWidth="1"/>
    <col min="2" max="2" width="22.42578125" bestFit="1" customWidth="1"/>
    <col min="3" max="3" width="6.140625" bestFit="1" customWidth="1"/>
    <col min="4" max="4" width="5.28515625" bestFit="1" customWidth="1"/>
    <col min="5" max="5" width="5" bestFit="1" customWidth="1"/>
    <col min="6" max="6" width="11.7109375" bestFit="1" customWidth="1"/>
    <col min="7" max="7" width="7.5703125" bestFit="1" customWidth="1"/>
  </cols>
  <sheetData>
    <row r="1" spans="1:9" x14ac:dyDescent="0.25">
      <c r="A1" s="7">
        <v>44835.491990740738</v>
      </c>
    </row>
    <row r="3" spans="1:9" x14ac:dyDescent="0.25">
      <c r="A3" t="s">
        <v>190</v>
      </c>
      <c r="B3" t="s">
        <v>77</v>
      </c>
      <c r="C3" t="s">
        <v>191</v>
      </c>
      <c r="D3" t="s">
        <v>192</v>
      </c>
      <c r="E3" t="s">
        <v>193</v>
      </c>
      <c r="F3" t="s">
        <v>194</v>
      </c>
      <c r="G3" t="s">
        <v>195</v>
      </c>
    </row>
    <row r="4" spans="1:9" x14ac:dyDescent="0.25">
      <c r="A4">
        <v>1</v>
      </c>
      <c r="B4" t="s">
        <v>78</v>
      </c>
      <c r="C4">
        <v>9325</v>
      </c>
      <c r="D4">
        <v>0</v>
      </c>
      <c r="E4">
        <v>0</v>
      </c>
      <c r="F4">
        <v>5168</v>
      </c>
      <c r="G4">
        <v>4157</v>
      </c>
      <c r="I4" t="str">
        <f>_xlfn.CONCAT("""",B4,""",")</f>
        <v>"Snättringe SK",</v>
      </c>
    </row>
    <row r="5" spans="1:9" x14ac:dyDescent="0.25">
      <c r="A5">
        <v>2</v>
      </c>
      <c r="B5" t="s">
        <v>196</v>
      </c>
      <c r="C5">
        <v>9219</v>
      </c>
      <c r="D5">
        <v>106</v>
      </c>
      <c r="E5">
        <v>106</v>
      </c>
      <c r="F5">
        <v>5382</v>
      </c>
      <c r="G5">
        <v>3837</v>
      </c>
      <c r="I5" t="str">
        <f t="shared" ref="I5:I30" si="0">_xlfn.CONCAT("""",B5,""",")</f>
        <v>"Tullinge SK",</v>
      </c>
    </row>
    <row r="6" spans="1:9" x14ac:dyDescent="0.25">
      <c r="A6">
        <v>3</v>
      </c>
      <c r="B6" t="s">
        <v>197</v>
      </c>
      <c r="C6">
        <v>7306</v>
      </c>
      <c r="D6">
        <v>2019</v>
      </c>
      <c r="E6">
        <v>1913</v>
      </c>
      <c r="F6">
        <v>4187</v>
      </c>
      <c r="G6">
        <v>3119</v>
      </c>
      <c r="I6" t="str">
        <f t="shared" si="0"/>
        <v>"Järfälla OK",</v>
      </c>
    </row>
    <row r="7" spans="1:9" x14ac:dyDescent="0.25">
      <c r="A7">
        <v>4</v>
      </c>
      <c r="B7" t="s">
        <v>198</v>
      </c>
      <c r="C7">
        <v>6895</v>
      </c>
      <c r="D7">
        <v>2430</v>
      </c>
      <c r="E7">
        <v>411</v>
      </c>
      <c r="F7">
        <v>3924</v>
      </c>
      <c r="G7">
        <v>2971</v>
      </c>
      <c r="I7" t="str">
        <f t="shared" si="0"/>
        <v>"Tumba-Mälarhöjden OK",</v>
      </c>
    </row>
    <row r="8" spans="1:9" x14ac:dyDescent="0.25">
      <c r="A8">
        <v>5</v>
      </c>
      <c r="B8" t="s">
        <v>199</v>
      </c>
      <c r="C8">
        <v>6095</v>
      </c>
      <c r="D8">
        <v>3230</v>
      </c>
      <c r="E8">
        <v>800</v>
      </c>
      <c r="F8">
        <v>3501</v>
      </c>
      <c r="G8">
        <v>2594</v>
      </c>
      <c r="I8" t="str">
        <f t="shared" si="0"/>
        <v>"Sundbybergs IK",</v>
      </c>
    </row>
    <row r="9" spans="1:9" x14ac:dyDescent="0.25">
      <c r="A9">
        <v>6</v>
      </c>
      <c r="B9" t="s">
        <v>200</v>
      </c>
      <c r="C9">
        <v>5503</v>
      </c>
      <c r="D9">
        <v>3822</v>
      </c>
      <c r="E9">
        <v>592</v>
      </c>
      <c r="F9">
        <v>2667</v>
      </c>
      <c r="G9">
        <v>2836</v>
      </c>
      <c r="I9" t="str">
        <f t="shared" si="0"/>
        <v>"OK Ravinen",</v>
      </c>
    </row>
    <row r="10" spans="1:9" x14ac:dyDescent="0.25">
      <c r="A10">
        <v>7</v>
      </c>
      <c r="B10" t="s">
        <v>201</v>
      </c>
      <c r="C10">
        <v>4982</v>
      </c>
      <c r="D10">
        <v>4343</v>
      </c>
      <c r="E10">
        <v>521</v>
      </c>
      <c r="F10">
        <v>2953</v>
      </c>
      <c r="G10">
        <v>2029</v>
      </c>
      <c r="I10" t="str">
        <f t="shared" si="0"/>
        <v>"Järla Orientering",</v>
      </c>
    </row>
    <row r="11" spans="1:9" x14ac:dyDescent="0.25">
      <c r="A11">
        <v>8</v>
      </c>
      <c r="B11" t="s">
        <v>202</v>
      </c>
      <c r="C11">
        <v>4521</v>
      </c>
      <c r="D11">
        <v>4804</v>
      </c>
      <c r="E11">
        <v>461</v>
      </c>
      <c r="F11">
        <v>2612</v>
      </c>
      <c r="G11">
        <v>1909</v>
      </c>
      <c r="I11" t="str">
        <f t="shared" si="0"/>
        <v>"Täby OK",</v>
      </c>
    </row>
    <row r="12" spans="1:9" x14ac:dyDescent="0.25">
      <c r="A12">
        <v>9</v>
      </c>
      <c r="B12" t="s">
        <v>203</v>
      </c>
      <c r="C12">
        <v>4185</v>
      </c>
      <c r="D12">
        <v>5140</v>
      </c>
      <c r="E12">
        <v>336</v>
      </c>
      <c r="F12">
        <v>2581</v>
      </c>
      <c r="G12">
        <v>1604</v>
      </c>
      <c r="I12" t="str">
        <f t="shared" si="0"/>
        <v>"Skogsluffarnas OK",</v>
      </c>
    </row>
    <row r="13" spans="1:9" x14ac:dyDescent="0.25">
      <c r="A13">
        <v>10</v>
      </c>
      <c r="B13" t="s">
        <v>204</v>
      </c>
      <c r="C13">
        <v>3909</v>
      </c>
      <c r="D13">
        <v>5416</v>
      </c>
      <c r="E13">
        <v>276</v>
      </c>
      <c r="F13">
        <v>2469</v>
      </c>
      <c r="G13">
        <v>1440</v>
      </c>
      <c r="I13" t="str">
        <f t="shared" si="0"/>
        <v>"IFK Lidingö SOK",</v>
      </c>
    </row>
    <row r="14" spans="1:9" x14ac:dyDescent="0.25">
      <c r="A14">
        <v>11</v>
      </c>
      <c r="B14" t="s">
        <v>205</v>
      </c>
      <c r="C14">
        <v>3695</v>
      </c>
      <c r="D14">
        <v>5630</v>
      </c>
      <c r="E14">
        <v>214</v>
      </c>
      <c r="F14">
        <v>2334</v>
      </c>
      <c r="G14">
        <v>1361</v>
      </c>
      <c r="I14" t="str">
        <f t="shared" si="0"/>
        <v>"Attunda OK",</v>
      </c>
    </row>
    <row r="15" spans="1:9" x14ac:dyDescent="0.25">
      <c r="A15">
        <v>12</v>
      </c>
      <c r="B15" t="s">
        <v>206</v>
      </c>
      <c r="C15">
        <v>3592</v>
      </c>
      <c r="D15">
        <v>5733</v>
      </c>
      <c r="E15">
        <v>103</v>
      </c>
      <c r="F15">
        <v>2069</v>
      </c>
      <c r="G15">
        <v>1523</v>
      </c>
      <c r="I15" t="str">
        <f t="shared" si="0"/>
        <v>"OK Södertörn",</v>
      </c>
    </row>
    <row r="16" spans="1:9" x14ac:dyDescent="0.25">
      <c r="A16">
        <v>13</v>
      </c>
      <c r="B16" t="s">
        <v>88</v>
      </c>
      <c r="C16">
        <v>3266</v>
      </c>
      <c r="D16">
        <v>6059</v>
      </c>
      <c r="E16">
        <v>326</v>
      </c>
      <c r="F16">
        <v>1941</v>
      </c>
      <c r="G16">
        <v>1325</v>
      </c>
      <c r="I16" t="str">
        <f t="shared" si="0"/>
        <v>"Söders-Tyresö",</v>
      </c>
    </row>
    <row r="17" spans="1:9" x14ac:dyDescent="0.25">
      <c r="A17">
        <v>14</v>
      </c>
      <c r="B17" t="s">
        <v>207</v>
      </c>
      <c r="C17">
        <v>3262</v>
      </c>
      <c r="D17">
        <v>6063</v>
      </c>
      <c r="E17">
        <v>4</v>
      </c>
      <c r="F17">
        <v>1714</v>
      </c>
      <c r="G17">
        <v>1548</v>
      </c>
      <c r="I17" t="str">
        <f t="shared" si="0"/>
        <v>"Väsby OK",</v>
      </c>
    </row>
    <row r="18" spans="1:9" x14ac:dyDescent="0.25">
      <c r="A18">
        <v>15</v>
      </c>
      <c r="B18" t="s">
        <v>208</v>
      </c>
      <c r="C18">
        <v>3094</v>
      </c>
      <c r="D18">
        <v>6231</v>
      </c>
      <c r="E18">
        <v>168</v>
      </c>
      <c r="F18">
        <v>1886</v>
      </c>
      <c r="G18">
        <v>1208</v>
      </c>
      <c r="I18" t="str">
        <f t="shared" si="0"/>
        <v>"Skarpnäcks OL",</v>
      </c>
    </row>
    <row r="19" spans="1:9" x14ac:dyDescent="0.25">
      <c r="A19">
        <v>16</v>
      </c>
      <c r="B19" t="s">
        <v>209</v>
      </c>
      <c r="C19">
        <v>2483</v>
      </c>
      <c r="D19">
        <v>6842</v>
      </c>
      <c r="E19">
        <v>611</v>
      </c>
      <c r="F19">
        <v>1260</v>
      </c>
      <c r="G19">
        <v>1223</v>
      </c>
      <c r="I19" t="str">
        <f t="shared" si="0"/>
        <v>"OK Älvsjö-Örby",</v>
      </c>
    </row>
    <row r="20" spans="1:9" x14ac:dyDescent="0.25">
      <c r="A20">
        <v>17</v>
      </c>
      <c r="B20" t="s">
        <v>210</v>
      </c>
      <c r="C20">
        <v>2325</v>
      </c>
      <c r="D20">
        <v>7000</v>
      </c>
      <c r="E20">
        <v>158</v>
      </c>
      <c r="F20">
        <v>1292</v>
      </c>
      <c r="G20">
        <v>1033</v>
      </c>
      <c r="I20" t="str">
        <f t="shared" si="0"/>
        <v>"Waxholms OK",</v>
      </c>
    </row>
    <row r="21" spans="1:9" x14ac:dyDescent="0.25">
      <c r="A21">
        <v>18</v>
      </c>
      <c r="B21" t="s">
        <v>80</v>
      </c>
      <c r="C21">
        <v>2263</v>
      </c>
      <c r="D21">
        <v>7062</v>
      </c>
      <c r="E21">
        <v>62</v>
      </c>
      <c r="F21">
        <v>1258</v>
      </c>
      <c r="G21">
        <v>1005</v>
      </c>
      <c r="I21" t="str">
        <f t="shared" si="0"/>
        <v>"IFK Enskede",</v>
      </c>
    </row>
    <row r="22" spans="1:9" x14ac:dyDescent="0.25">
      <c r="A22">
        <v>19</v>
      </c>
      <c r="B22" t="s">
        <v>211</v>
      </c>
      <c r="C22">
        <v>1905</v>
      </c>
      <c r="D22">
        <v>7420</v>
      </c>
      <c r="E22">
        <v>358</v>
      </c>
      <c r="F22">
        <v>1504</v>
      </c>
      <c r="G22">
        <v>401</v>
      </c>
      <c r="I22" t="str">
        <f t="shared" si="0"/>
        <v>"Mälarö SOK",</v>
      </c>
    </row>
    <row r="23" spans="1:9" x14ac:dyDescent="0.25">
      <c r="A23">
        <v>20</v>
      </c>
      <c r="B23" t="s">
        <v>212</v>
      </c>
      <c r="C23">
        <v>1841</v>
      </c>
      <c r="D23">
        <v>7484</v>
      </c>
      <c r="E23">
        <v>64</v>
      </c>
      <c r="F23">
        <v>1083</v>
      </c>
      <c r="G23">
        <v>758</v>
      </c>
      <c r="I23" t="str">
        <f t="shared" si="0"/>
        <v>"Bromma-Vällingby SOK",</v>
      </c>
    </row>
    <row r="24" spans="1:9" x14ac:dyDescent="0.25">
      <c r="A24">
        <v>21</v>
      </c>
      <c r="B24" t="s">
        <v>79</v>
      </c>
      <c r="C24">
        <v>1716</v>
      </c>
      <c r="D24">
        <v>7609</v>
      </c>
      <c r="E24">
        <v>125</v>
      </c>
      <c r="F24">
        <v>1054</v>
      </c>
      <c r="G24">
        <v>662</v>
      </c>
      <c r="I24" t="str">
        <f t="shared" si="0"/>
        <v>"Haninge SOK",</v>
      </c>
    </row>
    <row r="25" spans="1:9" x14ac:dyDescent="0.25">
      <c r="A25">
        <v>22</v>
      </c>
      <c r="B25" t="s">
        <v>213</v>
      </c>
      <c r="C25">
        <v>1163</v>
      </c>
      <c r="D25">
        <v>8162</v>
      </c>
      <c r="E25">
        <v>553</v>
      </c>
      <c r="F25">
        <v>770</v>
      </c>
      <c r="G25">
        <v>393</v>
      </c>
      <c r="I25" t="str">
        <f t="shared" si="0"/>
        <v>"Gustavsbergs OK",</v>
      </c>
    </row>
    <row r="26" spans="1:9" x14ac:dyDescent="0.25">
      <c r="A26">
        <v>23</v>
      </c>
      <c r="B26" t="s">
        <v>214</v>
      </c>
      <c r="C26">
        <v>852</v>
      </c>
      <c r="D26">
        <v>8473</v>
      </c>
      <c r="E26">
        <v>311</v>
      </c>
      <c r="F26">
        <v>824</v>
      </c>
      <c r="G26">
        <v>28</v>
      </c>
      <c r="I26" t="str">
        <f t="shared" si="0"/>
        <v>"OK Österåker",</v>
      </c>
    </row>
    <row r="27" spans="1:9" x14ac:dyDescent="0.25">
      <c r="A27">
        <v>24</v>
      </c>
      <c r="B27" t="s">
        <v>215</v>
      </c>
      <c r="C27">
        <v>772</v>
      </c>
      <c r="D27">
        <v>8553</v>
      </c>
      <c r="E27">
        <v>80</v>
      </c>
      <c r="F27">
        <v>432</v>
      </c>
      <c r="G27">
        <v>340</v>
      </c>
      <c r="I27" t="str">
        <f t="shared" si="0"/>
        <v>"Hellas Orientering",</v>
      </c>
    </row>
    <row r="28" spans="1:9" x14ac:dyDescent="0.25">
      <c r="A28">
        <v>25</v>
      </c>
      <c r="B28" t="s">
        <v>216</v>
      </c>
      <c r="C28">
        <v>232</v>
      </c>
      <c r="D28">
        <v>9093</v>
      </c>
      <c r="E28">
        <v>540</v>
      </c>
      <c r="F28">
        <v>232</v>
      </c>
      <c r="G28">
        <v>0</v>
      </c>
      <c r="I28" t="str">
        <f t="shared" si="0"/>
        <v>"Enebybergs IF",</v>
      </c>
    </row>
    <row r="29" spans="1:9" x14ac:dyDescent="0.25">
      <c r="A29">
        <v>26</v>
      </c>
      <c r="B29" t="s">
        <v>217</v>
      </c>
      <c r="C29">
        <v>230</v>
      </c>
      <c r="D29">
        <v>9095</v>
      </c>
      <c r="E29">
        <v>2</v>
      </c>
      <c r="F29">
        <v>174</v>
      </c>
      <c r="G29">
        <v>56</v>
      </c>
      <c r="I29" t="str">
        <f t="shared" si="0"/>
        <v>"Solna OK",</v>
      </c>
    </row>
    <row r="30" spans="1:9" x14ac:dyDescent="0.25">
      <c r="A30">
        <v>27</v>
      </c>
      <c r="B30" t="s">
        <v>218</v>
      </c>
      <c r="C30">
        <v>34</v>
      </c>
      <c r="D30">
        <v>9291</v>
      </c>
      <c r="E30">
        <v>196</v>
      </c>
      <c r="F30">
        <v>34</v>
      </c>
      <c r="G30">
        <v>0</v>
      </c>
      <c r="I30" t="str">
        <f t="shared" si="0"/>
        <v>"Nynäshamns OK",</v>
      </c>
    </row>
  </sheetData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Resultat</vt:lpstr>
      <vt:lpstr>Totalt</vt:lpstr>
      <vt:lpstr>Per klubb och klass</vt:lpstr>
      <vt:lpstr>Final 2022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Mats Larsson</dc:creator>
  <cp:lastModifiedBy>Mats Larsson</cp:lastModifiedBy>
  <cp:lastPrinted>2015-05-12T18:00:42Z</cp:lastPrinted>
  <dcterms:created xsi:type="dcterms:W3CDTF">2015-04-06T15:07:36Z</dcterms:created>
  <dcterms:modified xsi:type="dcterms:W3CDTF">2023-03-03T15:00:26Z</dcterms:modified>
</cp:coreProperties>
</file>